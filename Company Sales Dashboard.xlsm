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702a288ff08fa3b9/"/>
    </mc:Choice>
  </mc:AlternateContent>
  <xr:revisionPtr revIDLastSave="3" documentId="8_{1015C257-6F7A-41C4-857D-08CF2ED3FFB6}" xr6:coauthVersionLast="47" xr6:coauthVersionMax="47" xr10:uidLastSave="{78A0E1A2-3AC1-42FA-9B18-A059E4DF0F4F}"/>
  <bookViews>
    <workbookView xWindow="-108" yWindow="-108" windowWidth="23256" windowHeight="12456" xr2:uid="{706BA956-0D47-4F0C-9B42-EC8BEFEABBA3}"/>
  </bookViews>
  <sheets>
    <sheet name="Sheet4" sheetId="4" r:id="rId1"/>
    <sheet name="Sheet1" sheetId="1" r:id="rId2"/>
  </sheets>
  <definedNames>
    <definedName name="Slicer_Region">#N/A</definedName>
  </definedNames>
  <calcPr calcId="191029"/>
  <pivotCaches>
    <pivotCache cacheId="4"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1" l="1"/>
  <c r="K4" i="1"/>
  <c r="K5" i="1"/>
  <c r="K6" i="1"/>
  <c r="K7" i="1"/>
  <c r="K8" i="1"/>
  <c r="K9" i="1"/>
  <c r="K10" i="1"/>
  <c r="K11" i="1"/>
  <c r="K12" i="1"/>
  <c r="K13" i="1"/>
  <c r="K14" i="1"/>
  <c r="K15" i="1"/>
  <c r="L15" i="1" s="1"/>
  <c r="K16" i="1"/>
  <c r="L16" i="1" s="1"/>
  <c r="K17" i="1"/>
  <c r="L17" i="1" s="1"/>
  <c r="K18" i="1"/>
  <c r="L18" i="1" s="1"/>
  <c r="K19" i="1"/>
  <c r="L19" i="1" s="1"/>
  <c r="K20" i="1"/>
  <c r="L20" i="1" s="1"/>
  <c r="K21" i="1"/>
  <c r="K22" i="1"/>
  <c r="K23" i="1"/>
  <c r="K24" i="1"/>
  <c r="K25" i="1"/>
  <c r="K2" i="1"/>
  <c r="I4" i="1"/>
  <c r="L4" i="1" s="1"/>
  <c r="L5" i="1"/>
  <c r="L6" i="1"/>
  <c r="L7" i="1"/>
  <c r="L8" i="1"/>
  <c r="L9" i="1"/>
  <c r="L10" i="1"/>
  <c r="L11" i="1"/>
  <c r="L12" i="1"/>
  <c r="L13" i="1"/>
  <c r="L14" i="1"/>
  <c r="L21" i="1"/>
  <c r="L22" i="1"/>
  <c r="L23" i="1"/>
  <c r="L24" i="1"/>
  <c r="L25" i="1"/>
  <c r="L2" i="1"/>
  <c r="I3" i="1"/>
  <c r="L3" i="1" s="1"/>
  <c r="I5" i="1"/>
  <c r="I6" i="1"/>
  <c r="I7" i="1"/>
  <c r="I8" i="1"/>
  <c r="I9" i="1"/>
  <c r="I10" i="1"/>
  <c r="I11" i="1"/>
  <c r="I12" i="1"/>
  <c r="I13" i="1"/>
  <c r="I14" i="1"/>
  <c r="I15" i="1"/>
  <c r="I16" i="1"/>
  <c r="I17" i="1"/>
  <c r="I18" i="1"/>
  <c r="I19" i="1"/>
  <c r="I20" i="1"/>
  <c r="I21" i="1"/>
  <c r="I22" i="1"/>
  <c r="I23" i="1"/>
  <c r="I24" i="1"/>
  <c r="I25" i="1"/>
  <c r="I2" i="1"/>
</calcChain>
</file>

<file path=xl/sharedStrings.xml><?xml version="1.0" encoding="utf-8"?>
<sst xmlns="http://schemas.openxmlformats.org/spreadsheetml/2006/main" count="127" uniqueCount="74">
  <si>
    <t>Emp Code</t>
  </si>
  <si>
    <t>MumTCL-001</t>
  </si>
  <si>
    <t>MumTCL-002</t>
  </si>
  <si>
    <t>MumTCL-003</t>
  </si>
  <si>
    <t>MumTCL-004</t>
  </si>
  <si>
    <t>MumTCL-005</t>
  </si>
  <si>
    <t>MumTCL-006</t>
  </si>
  <si>
    <t>MumTCL-007</t>
  </si>
  <si>
    <t>MumTCL-008</t>
  </si>
  <si>
    <t>MumTCL-009</t>
  </si>
  <si>
    <t>MumTCL-010</t>
  </si>
  <si>
    <t>MumTCL-011</t>
  </si>
  <si>
    <t>MumTCL-012</t>
  </si>
  <si>
    <t>MumTCL-013</t>
  </si>
  <si>
    <t>MumTCL-014</t>
  </si>
  <si>
    <t>MumTCL-015</t>
  </si>
  <si>
    <t>MumTCL-016</t>
  </si>
  <si>
    <t>MumTCL-017</t>
  </si>
  <si>
    <t>MumTCL-018</t>
  </si>
  <si>
    <t>MumTCL-019</t>
  </si>
  <si>
    <t>MumTCL-020</t>
  </si>
  <si>
    <t>MumTCL-021</t>
  </si>
  <si>
    <t>MumTCL-022</t>
  </si>
  <si>
    <t>MumTCL-023</t>
  </si>
  <si>
    <t>MumTCL-024</t>
  </si>
  <si>
    <t>Sales Executive</t>
  </si>
  <si>
    <t>Radhika sharma</t>
  </si>
  <si>
    <t>Jyoti Sharma</t>
  </si>
  <si>
    <t>Abhay chaudhary</t>
  </si>
  <si>
    <t>Krishna chaudhary</t>
  </si>
  <si>
    <t>Krish verma</t>
  </si>
  <si>
    <t>kishori kumari</t>
  </si>
  <si>
    <t>Radha verma</t>
  </si>
  <si>
    <t>Raj Malhotra</t>
  </si>
  <si>
    <t>Suraj Sharma</t>
  </si>
  <si>
    <t>Shaurya Raj</t>
  </si>
  <si>
    <t>Kanina verma</t>
  </si>
  <si>
    <t xml:space="preserve">Surry </t>
  </si>
  <si>
    <t>Ram sharma</t>
  </si>
  <si>
    <t>Sita Sharma</t>
  </si>
  <si>
    <t>Kokila Modi</t>
  </si>
  <si>
    <t>Gopi Chaudhary</t>
  </si>
  <si>
    <t>Raj verma</t>
  </si>
  <si>
    <t>Rohtash Sharma</t>
  </si>
  <si>
    <t>Mamta Sharma</t>
  </si>
  <si>
    <t>Prince Sharma</t>
  </si>
  <si>
    <t>Madhav</t>
  </si>
  <si>
    <t xml:space="preserve"> Sanu chaudhary</t>
  </si>
  <si>
    <t>Manu Sharma</t>
  </si>
  <si>
    <t>Devansh sharma</t>
  </si>
  <si>
    <t>Region</t>
  </si>
  <si>
    <t>Mumbai</t>
  </si>
  <si>
    <t>Delhi</t>
  </si>
  <si>
    <t>Nagpur</t>
  </si>
  <si>
    <t>Patna</t>
  </si>
  <si>
    <t>Pune</t>
  </si>
  <si>
    <t>Surat</t>
  </si>
  <si>
    <t>Ranchi</t>
  </si>
  <si>
    <t>Kolkata</t>
  </si>
  <si>
    <t>Day 1</t>
  </si>
  <si>
    <t>Day  2</t>
  </si>
  <si>
    <t>Day 3</t>
  </si>
  <si>
    <t>Day 4</t>
  </si>
  <si>
    <t>Day 5</t>
  </si>
  <si>
    <t>Total sales</t>
  </si>
  <si>
    <t xml:space="preserve">Target </t>
  </si>
  <si>
    <t>Target hit %</t>
  </si>
  <si>
    <t>Target away %</t>
  </si>
  <si>
    <t>Grand Total</t>
  </si>
  <si>
    <t>Sum of Total sales</t>
  </si>
  <si>
    <t xml:space="preserve">Target hit % </t>
  </si>
  <si>
    <t xml:space="preserve">Target away % </t>
  </si>
  <si>
    <t>Emp_code  and Names</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</si>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</sst>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Aptos Narrow"/>
      <family val="2"/>
      <scheme val="minor"/>
    </font>
    <font>
      <b/>
      <sz val="11"/>
      <color theme="1"/>
      <name val="Aptos Narrow"/>
      <family val="2"/>
      <scheme val="minor"/>
    </font>
    <font>
      <sz val="8"/>
      <name val="Aptos Narrow"/>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3" tint="0.89999084444715716"/>
        <bgColor indexed="64"/>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
    <xf numFmtId="0" fontId="0" fillId="0" borderId="0" xfId="0"/>
    <xf numFmtId="0" fontId="0" fillId="3" borderId="1" xfId="0" applyFill="1" applyBorder="1"/>
    <xf numFmtId="0" fontId="1" fillId="2" borderId="1" xfId="0" applyFont="1" applyFill="1" applyBorder="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0" fontId="0" fillId="4" borderId="0" xfId="0" applyFill="1"/>
    <xf numFmtId="0" fontId="1" fillId="4" borderId="0" xfId="0" applyFont="1" applyFill="1" applyAlignment="1">
      <alignment horizontal="center"/>
    </xf>
  </cellXfs>
  <cellStyles count="1">
    <cellStyle name="Normal" xfId="0" builtinId="0"/>
  </cellStyles>
  <dxfs count="1">
    <dxf>
      <font>
        <b/>
        <i val="0"/>
        <name val="Aptos Display"/>
        <family val="2"/>
        <scheme val="major"/>
      </font>
      <fill>
        <patternFill>
          <bgColor theme="1" tint="4.9989318521683403E-2"/>
        </patternFill>
      </fill>
    </dxf>
  </dxfs>
  <tableStyles count="1" defaultTableStyle="TableStyleMedium2" defaultPivotStyle="PivotStyleLight16">
    <tableStyle name="Slicer Style 1" pivot="0" table="0" count="5" xr9:uid="{09BF81E9-8011-484F-A698-0A981E297712}">
      <tableStyleElement type="wholeTable" dxfId="0"/>
    </tableStyle>
  </tableStyles>
  <extLst>
    <ext xmlns:x14="http://schemas.microsoft.com/office/spreadsheetml/2009/9/main" uri="{46F421CA-312F-682f-3DD2-61675219B42D}">
      <x14:dxfs count="4">
        <dxf>
          <fill>
            <patternFill>
              <bgColor rgb="FFFF0000"/>
            </patternFill>
          </fill>
        </dxf>
        <dxf>
          <fill>
            <patternFill>
              <bgColor rgb="FFFF0000"/>
            </patternFill>
          </fill>
        </dxf>
        <dxf>
          <fill>
            <patternFill>
              <bgColor theme="0" tint="-4.9989318521683403E-2"/>
            </patternFill>
          </fill>
        </dxf>
        <dxf>
          <fill>
            <patternFill>
              <bgColor rgb="FFFFFF0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Dashboard.xlsm]Sheet4!PivotTable4</c:name>
    <c:fmtId val="3"/>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427079468469589E-2"/>
          <c:y val="1.106111736032996E-3"/>
          <c:w val="0.92148465381870093"/>
          <c:h val="0.58603906906002945"/>
        </c:manualLayout>
      </c:layout>
      <c:barChart>
        <c:barDir val="col"/>
        <c:grouping val="clustered"/>
        <c:varyColors val="0"/>
        <c:ser>
          <c:idx val="0"/>
          <c:order val="0"/>
          <c:tx>
            <c:strRef>
              <c:f>Sheet4!$B$4</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Sheet4!$A$5:$A$13</c:f>
              <c:multiLvlStrCache>
                <c:ptCount val="4"/>
                <c:lvl>
                  <c:pt idx="0">
                    <c:v>Radhika sharma</c:v>
                  </c:pt>
                  <c:pt idx="1">
                    <c:v>Krishna chaudhary</c:v>
                  </c:pt>
                  <c:pt idx="2">
                    <c:v>Gopi Chaudhary</c:v>
                  </c:pt>
                  <c:pt idx="3">
                    <c:v>Prince Sharma</c:v>
                  </c:pt>
                </c:lvl>
                <c:lvl>
                  <c:pt idx="0">
                    <c:v>MumTCL-001</c:v>
                  </c:pt>
                  <c:pt idx="1">
                    <c:v>MumTCL-004</c:v>
                  </c:pt>
                  <c:pt idx="2">
                    <c:v>MumTCL-016</c:v>
                  </c:pt>
                  <c:pt idx="3">
                    <c:v>MumTCL-020</c:v>
                  </c:pt>
                </c:lvl>
              </c:multiLvlStrCache>
            </c:multiLvlStrRef>
          </c:cat>
          <c:val>
            <c:numRef>
              <c:f>Sheet4!$B$5:$B$13</c:f>
              <c:numCache>
                <c:formatCode>General</c:formatCode>
                <c:ptCount val="4"/>
                <c:pt idx="0">
                  <c:v>317</c:v>
                </c:pt>
                <c:pt idx="1">
                  <c:v>195</c:v>
                </c:pt>
                <c:pt idx="2">
                  <c:v>109</c:v>
                </c:pt>
                <c:pt idx="3">
                  <c:v>319</c:v>
                </c:pt>
              </c:numCache>
            </c:numRef>
          </c:val>
          <c:extLst>
            <c:ext xmlns:c16="http://schemas.microsoft.com/office/drawing/2014/chart" uri="{C3380CC4-5D6E-409C-BE32-E72D297353CC}">
              <c16:uniqueId val="{00000000-FC7B-41D6-A29C-4342527E5393}"/>
            </c:ext>
          </c:extLst>
        </c:ser>
        <c:dLbls>
          <c:showLegendKey val="0"/>
          <c:showVal val="0"/>
          <c:showCatName val="0"/>
          <c:showSerName val="0"/>
          <c:showPercent val="0"/>
          <c:showBubbleSize val="0"/>
        </c:dLbls>
        <c:gapWidth val="219"/>
        <c:overlap val="-27"/>
        <c:axId val="505024848"/>
        <c:axId val="505025328"/>
      </c:barChart>
      <c:catAx>
        <c:axId val="505024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025328"/>
        <c:crosses val="autoZero"/>
        <c:auto val="1"/>
        <c:lblAlgn val="ctr"/>
        <c:lblOffset val="100"/>
        <c:noMultiLvlLbl val="0"/>
      </c:catAx>
      <c:valAx>
        <c:axId val="505025328"/>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05024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Dashboard.xlsm]Sheet4!PivotTable5</c:name>
    <c:fmtId val="2"/>
  </c:pivotSource>
  <c:chart>
    <c:autoTitleDeleted val="1"/>
    <c:pivotFmts>
      <c:pivotFmt>
        <c:idx val="0"/>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3755283314381344E-2"/>
          <c:y val="9.1620017224409447E-2"/>
          <c:w val="0.90717299578059074"/>
          <c:h val="0.50940206360844575"/>
        </c:manualLayout>
      </c:layout>
      <c:lineChart>
        <c:grouping val="standard"/>
        <c:varyColors val="0"/>
        <c:ser>
          <c:idx val="0"/>
          <c:order val="0"/>
          <c:tx>
            <c:strRef>
              <c:f>Sheet4!$E$4</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Sheet4!$D$5:$D$13</c:f>
              <c:multiLvlStrCache>
                <c:ptCount val="4"/>
                <c:lvl>
                  <c:pt idx="0">
                    <c:v>Radhika sharma</c:v>
                  </c:pt>
                  <c:pt idx="1">
                    <c:v>Krishna chaudhary</c:v>
                  </c:pt>
                  <c:pt idx="2">
                    <c:v>Gopi Chaudhary</c:v>
                  </c:pt>
                  <c:pt idx="3">
                    <c:v>Prince Sharma</c:v>
                  </c:pt>
                </c:lvl>
                <c:lvl>
                  <c:pt idx="0">
                    <c:v>MumTCL-001</c:v>
                  </c:pt>
                  <c:pt idx="1">
                    <c:v>MumTCL-004</c:v>
                  </c:pt>
                  <c:pt idx="2">
                    <c:v>MumTCL-016</c:v>
                  </c:pt>
                  <c:pt idx="3">
                    <c:v>MumTCL-020</c:v>
                  </c:pt>
                </c:lvl>
              </c:multiLvlStrCache>
            </c:multiLvlStrRef>
          </c:cat>
          <c:val>
            <c:numRef>
              <c:f>Sheet4!$E$5:$E$13</c:f>
              <c:numCache>
                <c:formatCode>General</c:formatCode>
                <c:ptCount val="4"/>
                <c:pt idx="0">
                  <c:v>317</c:v>
                </c:pt>
                <c:pt idx="1">
                  <c:v>195</c:v>
                </c:pt>
                <c:pt idx="2">
                  <c:v>109</c:v>
                </c:pt>
                <c:pt idx="3">
                  <c:v>319</c:v>
                </c:pt>
              </c:numCache>
            </c:numRef>
          </c:val>
          <c:smooth val="0"/>
          <c:extLst>
            <c:ext xmlns:c16="http://schemas.microsoft.com/office/drawing/2014/chart" uri="{C3380CC4-5D6E-409C-BE32-E72D297353CC}">
              <c16:uniqueId val="{00000000-A207-4615-B1B5-5A34B315BCFA}"/>
            </c:ext>
          </c:extLst>
        </c:ser>
        <c:dLbls>
          <c:dLblPos val="ctr"/>
          <c:showLegendKey val="0"/>
          <c:showVal val="1"/>
          <c:showCatName val="0"/>
          <c:showSerName val="0"/>
          <c:showPercent val="0"/>
          <c:showBubbleSize val="0"/>
        </c:dLbls>
        <c:marker val="1"/>
        <c:smooth val="0"/>
        <c:axId val="522380720"/>
        <c:axId val="522381200"/>
      </c:lineChart>
      <c:catAx>
        <c:axId val="52238072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22381200"/>
        <c:crosses val="autoZero"/>
        <c:auto val="1"/>
        <c:lblAlgn val="ctr"/>
        <c:lblOffset val="100"/>
        <c:noMultiLvlLbl val="0"/>
      </c:catAx>
      <c:valAx>
        <c:axId val="522381200"/>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5223807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Dashboard.xlsm]Sheet4!PivotTable10</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FFFF00"/>
          </a:solidFill>
          <a:ln>
            <a:noFill/>
          </a:ln>
          <a:effectLst>
            <a:outerShdw blurRad="254000" sx="102000" sy="102000" algn="ctr" rotWithShape="0">
              <a:prstClr val="black">
                <a:alpha val="20000"/>
              </a:prstClr>
            </a:outerShdw>
          </a:effectLst>
        </c:spPr>
      </c:pivotFmt>
      <c:pivotFmt>
        <c:idx val="2"/>
        <c:spPr>
          <a:solidFill>
            <a:srgbClr val="FF0000"/>
          </a:solidFill>
          <a:ln>
            <a:noFill/>
          </a:ln>
          <a:effectLst>
            <a:outerShdw blurRad="254000" sx="102000" sy="102000" algn="ctr" rotWithShape="0">
              <a:prstClr val="black">
                <a:alpha val="20000"/>
              </a:prstClr>
            </a:outerShdw>
          </a:effectLst>
        </c:spPr>
      </c:pivotFmt>
      <c:pivotFmt>
        <c:idx val="3"/>
        <c:spPr>
          <a:solidFill>
            <a:srgbClr val="92D050"/>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3.2566018533397606E-2"/>
          <c:y val="7.6121542499495251E-2"/>
          <c:w val="0.53438320209973755"/>
          <c:h val="0.79526319052638106"/>
        </c:manualLayout>
      </c:layout>
      <c:pieChart>
        <c:varyColors val="1"/>
        <c:ser>
          <c:idx val="0"/>
          <c:order val="0"/>
          <c:tx>
            <c:strRef>
              <c:f>Sheet4!$H$4</c:f>
              <c:strCache>
                <c:ptCount val="1"/>
                <c:pt idx="0">
                  <c:v>Total</c:v>
                </c:pt>
              </c:strCache>
            </c:strRef>
          </c:tx>
          <c:explosion val="2"/>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6A00-4362-B251-97C0A151584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A00-4362-B251-97C0A1515849}"/>
              </c:ext>
            </c:extLst>
          </c:dPt>
          <c:dPt>
            <c:idx val="3"/>
            <c:bubble3D val="0"/>
            <c:spPr>
              <a:solidFill>
                <a:schemeClr val="accent4"/>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multiLvlStrRef>
              <c:f>Sheet4!$G$5:$G$12</c:f>
              <c:multiLvlStrCache>
                <c:ptCount val="4"/>
                <c:lvl>
                  <c:pt idx="0">
                    <c:v>Radhika sharma</c:v>
                  </c:pt>
                  <c:pt idx="1">
                    <c:v>Krishna chaudhary</c:v>
                  </c:pt>
                  <c:pt idx="2">
                    <c:v>Gopi Chaudhary</c:v>
                  </c:pt>
                  <c:pt idx="3">
                    <c:v>Prince Sharma</c:v>
                  </c:pt>
                </c:lvl>
                <c:lvl>
                  <c:pt idx="0">
                    <c:v>MumTCL-001</c:v>
                  </c:pt>
                  <c:pt idx="1">
                    <c:v>MumTCL-004</c:v>
                  </c:pt>
                  <c:pt idx="2">
                    <c:v>MumTCL-016</c:v>
                  </c:pt>
                  <c:pt idx="3">
                    <c:v>MumTCL-020</c:v>
                  </c:pt>
                </c:lvl>
              </c:multiLvlStrCache>
            </c:multiLvlStrRef>
          </c:cat>
          <c:val>
            <c:numRef>
              <c:f>Sheet4!$H$5:$H$12</c:f>
              <c:numCache>
                <c:formatCode>General</c:formatCode>
                <c:ptCount val="4"/>
                <c:pt idx="0">
                  <c:v>63.4</c:v>
                </c:pt>
                <c:pt idx="1">
                  <c:v>39</c:v>
                </c:pt>
                <c:pt idx="2">
                  <c:v>21.8</c:v>
                </c:pt>
                <c:pt idx="3">
                  <c:v>63.800000000000004</c:v>
                </c:pt>
              </c:numCache>
            </c:numRef>
          </c:val>
          <c:extLst>
            <c:ext xmlns:c16="http://schemas.microsoft.com/office/drawing/2014/chart" uri="{C3380CC4-5D6E-409C-BE32-E72D297353CC}">
              <c16:uniqueId val="{00000000-6A00-4362-B251-97C0A1515849}"/>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57894705126144941"/>
          <c:y val="5.0891883706844339E-2"/>
          <c:w val="0.33188198173341538"/>
          <c:h val="0.74855337850210579"/>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Dashboard.xlsm]Sheet4!PivotTable11</c:name>
    <c:fmtId val="0"/>
  </c:pivotSource>
  <c:chart>
    <c:autoTitleDeleted val="1"/>
    <c:pivotFmts>
      <c:pivotFmt>
        <c:idx val="0"/>
        <c:spPr>
          <a:solidFill>
            <a:schemeClr val="accent1"/>
          </a:solidFill>
          <a:ln>
            <a:noFill/>
          </a:ln>
          <a:effectLst/>
        </c:spPr>
        <c:marker>
          <c:symbol val="none"/>
        </c:marker>
        <c:dLbl>
          <c:idx val="0"/>
          <c:spPr>
            <a:solidFill>
              <a:srgbClr val="FF00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523402060291597E-2"/>
          <c:y val="1.7966251182164984E-2"/>
          <c:w val="0.9000908265213442"/>
          <c:h val="0.40744405726790262"/>
        </c:manualLayout>
      </c:layout>
      <c:barChart>
        <c:barDir val="col"/>
        <c:grouping val="clustered"/>
        <c:varyColors val="0"/>
        <c:ser>
          <c:idx val="0"/>
          <c:order val="0"/>
          <c:tx>
            <c:strRef>
              <c:f>Sheet4!$K$4</c:f>
              <c:strCache>
                <c:ptCount val="1"/>
                <c:pt idx="0">
                  <c:v>Total</c:v>
                </c:pt>
              </c:strCache>
            </c:strRef>
          </c:tx>
          <c:spPr>
            <a:solidFill>
              <a:schemeClr val="accent1"/>
            </a:solidFill>
            <a:ln>
              <a:noFill/>
            </a:ln>
            <a:effectLst/>
          </c:spPr>
          <c:invertIfNegative val="0"/>
          <c:dLbls>
            <c:spPr>
              <a:solidFill>
                <a:srgbClr val="FF00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Sheet4!$J$5:$J$12</c:f>
              <c:multiLvlStrCache>
                <c:ptCount val="4"/>
                <c:lvl>
                  <c:pt idx="0">
                    <c:v>Radhika sharma</c:v>
                  </c:pt>
                  <c:pt idx="1">
                    <c:v>Krishna chaudhary</c:v>
                  </c:pt>
                  <c:pt idx="2">
                    <c:v>Gopi Chaudhary</c:v>
                  </c:pt>
                  <c:pt idx="3">
                    <c:v>Prince Sharma</c:v>
                  </c:pt>
                </c:lvl>
                <c:lvl>
                  <c:pt idx="0">
                    <c:v>MumTCL-001</c:v>
                  </c:pt>
                  <c:pt idx="1">
                    <c:v>MumTCL-004</c:v>
                  </c:pt>
                  <c:pt idx="2">
                    <c:v>MumTCL-016</c:v>
                  </c:pt>
                  <c:pt idx="3">
                    <c:v>MumTCL-020</c:v>
                  </c:pt>
                </c:lvl>
              </c:multiLvlStrCache>
            </c:multiLvlStrRef>
          </c:cat>
          <c:val>
            <c:numRef>
              <c:f>Sheet4!$K$5:$K$12</c:f>
              <c:numCache>
                <c:formatCode>General</c:formatCode>
                <c:ptCount val="4"/>
                <c:pt idx="0">
                  <c:v>36.6</c:v>
                </c:pt>
                <c:pt idx="1">
                  <c:v>61</c:v>
                </c:pt>
                <c:pt idx="2">
                  <c:v>78.2</c:v>
                </c:pt>
                <c:pt idx="3">
                  <c:v>36.199999999999996</c:v>
                </c:pt>
              </c:numCache>
            </c:numRef>
          </c:val>
          <c:extLst>
            <c:ext xmlns:c16="http://schemas.microsoft.com/office/drawing/2014/chart" uri="{C3380CC4-5D6E-409C-BE32-E72D297353CC}">
              <c16:uniqueId val="{00000000-9235-4D4A-BD12-641B8906B130}"/>
            </c:ext>
          </c:extLst>
        </c:ser>
        <c:dLbls>
          <c:showLegendKey val="0"/>
          <c:showVal val="0"/>
          <c:showCatName val="0"/>
          <c:showSerName val="0"/>
          <c:showPercent val="0"/>
          <c:showBubbleSize val="0"/>
        </c:dLbls>
        <c:gapWidth val="219"/>
        <c:overlap val="-27"/>
        <c:axId val="512351168"/>
        <c:axId val="512355488"/>
      </c:barChart>
      <c:catAx>
        <c:axId val="512351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355488"/>
        <c:crosses val="autoZero"/>
        <c:auto val="1"/>
        <c:lblAlgn val="ctr"/>
        <c:lblOffset val="100"/>
        <c:noMultiLvlLbl val="0"/>
      </c:catAx>
      <c:valAx>
        <c:axId val="512355488"/>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123511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J$1" lockText="1" noThreeD="1"/>
</file>

<file path=xl/ctrlProps/ctrlProp4.xml><?xml version="1.0" encoding="utf-8"?>
<formControlPr xmlns="http://schemas.microsoft.com/office/spreadsheetml/2009/9/main" objectType="CheckBox"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16</xdr:row>
      <xdr:rowOff>7620</xdr:rowOff>
    </xdr:from>
    <xdr:to>
      <xdr:col>2</xdr:col>
      <xdr:colOff>190500</xdr:colOff>
      <xdr:row>26</xdr:row>
      <xdr:rowOff>114300</xdr:rowOff>
    </xdr:to>
    <xdr:graphicFrame macro="">
      <xdr:nvGraphicFramePr>
        <xdr:cNvPr id="3" name="Chart 2">
          <a:extLst>
            <a:ext uri="{FF2B5EF4-FFF2-40B4-BE49-F238E27FC236}">
              <a16:creationId xmlns:a16="http://schemas.microsoft.com/office/drawing/2014/main" id="{9566CF5F-F570-D50C-3598-CA3D689CC1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15240</xdr:colOff>
      <xdr:row>16</xdr:row>
      <xdr:rowOff>15240</xdr:rowOff>
    </xdr:from>
    <xdr:to>
      <xdr:col>5</xdr:col>
      <xdr:colOff>205740</xdr:colOff>
      <xdr:row>26</xdr:row>
      <xdr:rowOff>137160</xdr:rowOff>
    </xdr:to>
    <xdr:graphicFrame macro="">
      <xdr:nvGraphicFramePr>
        <xdr:cNvPr id="12" name="Chart 11">
          <a:extLst>
            <a:ext uri="{FF2B5EF4-FFF2-40B4-BE49-F238E27FC236}">
              <a16:creationId xmlns:a16="http://schemas.microsoft.com/office/drawing/2014/main" id="{E86308A3-38ED-F0D2-A27A-FFC2749E2A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7620</xdr:colOff>
      <xdr:row>16</xdr:row>
      <xdr:rowOff>7620</xdr:rowOff>
    </xdr:from>
    <xdr:to>
      <xdr:col>9</xdr:col>
      <xdr:colOff>373380</xdr:colOff>
      <xdr:row>26</xdr:row>
      <xdr:rowOff>144780</xdr:rowOff>
    </xdr:to>
    <xdr:graphicFrame macro="">
      <xdr:nvGraphicFramePr>
        <xdr:cNvPr id="13" name="Chart 12">
          <a:extLst>
            <a:ext uri="{FF2B5EF4-FFF2-40B4-BE49-F238E27FC236}">
              <a16:creationId xmlns:a16="http://schemas.microsoft.com/office/drawing/2014/main" id="{3835426E-5FF9-F791-2166-ACF7F558FF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426720</xdr:colOff>
      <xdr:row>16</xdr:row>
      <xdr:rowOff>15240</xdr:rowOff>
    </xdr:from>
    <xdr:to>
      <xdr:col>11</xdr:col>
      <xdr:colOff>586740</xdr:colOff>
      <xdr:row>26</xdr:row>
      <xdr:rowOff>76200</xdr:rowOff>
    </xdr:to>
    <xdr:graphicFrame macro="">
      <xdr:nvGraphicFramePr>
        <xdr:cNvPr id="14" name="Chart 13">
          <a:extLst>
            <a:ext uri="{FF2B5EF4-FFF2-40B4-BE49-F238E27FC236}">
              <a16:creationId xmlns:a16="http://schemas.microsoft.com/office/drawing/2014/main" id="{29F0EA19-2C9D-0EDF-21B9-EC26BA828C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30480</xdr:colOff>
      <xdr:row>0</xdr:row>
      <xdr:rowOff>15239</xdr:rowOff>
    </xdr:from>
    <xdr:to>
      <xdr:col>10</xdr:col>
      <xdr:colOff>838200</xdr:colOff>
      <xdr:row>1</xdr:row>
      <xdr:rowOff>335280</xdr:rowOff>
    </xdr:to>
    <mc:AlternateContent xmlns:mc="http://schemas.openxmlformats.org/markup-compatibility/2006">
      <mc:Choice xmlns:a14="http://schemas.microsoft.com/office/drawing/2010/main" Requires="a14">
        <xdr:graphicFrame macro="">
          <xdr:nvGraphicFramePr>
            <xdr:cNvPr id="15" name="Region">
              <a:extLst>
                <a:ext uri="{FF2B5EF4-FFF2-40B4-BE49-F238E27FC236}">
                  <a16:creationId xmlns:a16="http://schemas.microsoft.com/office/drawing/2014/main" id="{0EB12547-04F3-D67F-030D-BDEC315D5E2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0480" y="15239"/>
              <a:ext cx="10469880" cy="5029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754380</xdr:colOff>
      <xdr:row>1</xdr:row>
      <xdr:rowOff>403860</xdr:rowOff>
    </xdr:from>
    <xdr:to>
      <xdr:col>1</xdr:col>
      <xdr:colOff>441960</xdr:colOff>
      <xdr:row>2</xdr:row>
      <xdr:rowOff>99060</xdr:rowOff>
    </xdr:to>
    <xdr:sp macro="" textlink="">
      <xdr:nvSpPr>
        <xdr:cNvPr id="16" name="Speech Bubble: Rectangle with Corners Rounded 15">
          <a:extLst>
            <a:ext uri="{FF2B5EF4-FFF2-40B4-BE49-F238E27FC236}">
              <a16:creationId xmlns:a16="http://schemas.microsoft.com/office/drawing/2014/main" id="{EC44BC7B-9931-2EFE-D162-2E48C0CD7559}"/>
            </a:ext>
          </a:extLst>
        </xdr:cNvPr>
        <xdr:cNvSpPr/>
      </xdr:nvSpPr>
      <xdr:spPr>
        <a:xfrm>
          <a:off x="754380" y="586740"/>
          <a:ext cx="1203960" cy="327660"/>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891540</xdr:colOff>
          <xdr:row>1</xdr:row>
          <xdr:rowOff>457200</xdr:rowOff>
        </xdr:from>
        <xdr:to>
          <xdr:col>1</xdr:col>
          <xdr:colOff>358140</xdr:colOff>
          <xdr:row>2</xdr:row>
          <xdr:rowOff>45720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1</a:t>
              </a:r>
            </a:p>
          </xdr:txBody>
        </xdr:sp>
        <xdr:clientData/>
      </xdr:twoCellAnchor>
    </mc:Choice>
    <mc:Fallback/>
  </mc:AlternateContent>
  <xdr:twoCellAnchor>
    <xdr:from>
      <xdr:col>3</xdr:col>
      <xdr:colOff>952500</xdr:colOff>
      <xdr:row>1</xdr:row>
      <xdr:rowOff>403860</xdr:rowOff>
    </xdr:from>
    <xdr:to>
      <xdr:col>4</xdr:col>
      <xdr:colOff>670560</xdr:colOff>
      <xdr:row>2</xdr:row>
      <xdr:rowOff>83820</xdr:rowOff>
    </xdr:to>
    <xdr:sp macro="" textlink="">
      <xdr:nvSpPr>
        <xdr:cNvPr id="19" name="Speech Bubble: Rectangle with Corners Rounded 18">
          <a:extLst>
            <a:ext uri="{FF2B5EF4-FFF2-40B4-BE49-F238E27FC236}">
              <a16:creationId xmlns:a16="http://schemas.microsoft.com/office/drawing/2014/main" id="{FCABA99E-8B43-401C-860E-0EF11C99D700}"/>
            </a:ext>
          </a:extLst>
        </xdr:cNvPr>
        <xdr:cNvSpPr/>
      </xdr:nvSpPr>
      <xdr:spPr>
        <a:xfrm>
          <a:off x="3802380" y="586740"/>
          <a:ext cx="1234440" cy="312420"/>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1104900</xdr:colOff>
          <xdr:row>1</xdr:row>
          <xdr:rowOff>449580</xdr:rowOff>
        </xdr:from>
        <xdr:to>
          <xdr:col>4</xdr:col>
          <xdr:colOff>571500</xdr:colOff>
          <xdr:row>2</xdr:row>
          <xdr:rowOff>38100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888E4B15-2A00-0EDB-B181-5D989233C7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2</a:t>
              </a:r>
            </a:p>
          </xdr:txBody>
        </xdr:sp>
        <xdr:clientData/>
      </xdr:twoCellAnchor>
    </mc:Choice>
    <mc:Fallback/>
  </mc:AlternateContent>
  <xdr:twoCellAnchor>
    <xdr:from>
      <xdr:col>6</xdr:col>
      <xdr:colOff>777240</xdr:colOff>
      <xdr:row>1</xdr:row>
      <xdr:rowOff>441960</xdr:rowOff>
    </xdr:from>
    <xdr:to>
      <xdr:col>7</xdr:col>
      <xdr:colOff>426720</xdr:colOff>
      <xdr:row>2</xdr:row>
      <xdr:rowOff>91440</xdr:rowOff>
    </xdr:to>
    <xdr:sp macro="" textlink="">
      <xdr:nvSpPr>
        <xdr:cNvPr id="24" name="Speech Bubble: Rectangle with Corners Rounded 23">
          <a:extLst>
            <a:ext uri="{FF2B5EF4-FFF2-40B4-BE49-F238E27FC236}">
              <a16:creationId xmlns:a16="http://schemas.microsoft.com/office/drawing/2014/main" id="{181AF328-665D-4FA8-9B75-EA87C327EEDE}"/>
            </a:ext>
          </a:extLst>
        </xdr:cNvPr>
        <xdr:cNvSpPr/>
      </xdr:nvSpPr>
      <xdr:spPr>
        <a:xfrm>
          <a:off x="6461760" y="624840"/>
          <a:ext cx="1165860" cy="281940"/>
        </a:xfrm>
        <a:prstGeom prst="wedgeRoundRectCallout">
          <a:avLst/>
        </a:prstGeom>
        <a:solidFill>
          <a:srgbClr val="FFC00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IN" sz="1100" b="0" i="0" u="none" strike="noStrike" kern="0" cap="none" spc="0" normalizeH="0" baseline="0" noProof="0">
            <a:ln>
              <a:noFill/>
            </a:ln>
            <a:solidFill>
              <a:sysClr val="window" lastClr="FFFFFF"/>
            </a:solidFill>
            <a:effectLst/>
            <a:uLnTx/>
            <a:uFillTx/>
            <a:latin typeface="Aptos Narrow" panose="02110004020202020204"/>
            <a:ea typeface="+mn-ea"/>
            <a:cs typeface="+mn-cs"/>
          </a:endParaRPr>
        </a:p>
      </xdr:txBody>
    </xdr:sp>
    <xdr:clientData/>
  </xdr:twoCellAnchor>
  <xdr:twoCellAnchor>
    <xdr:from>
      <xdr:col>9</xdr:col>
      <xdr:colOff>762000</xdr:colOff>
      <xdr:row>1</xdr:row>
      <xdr:rowOff>419100</xdr:rowOff>
    </xdr:from>
    <xdr:to>
      <xdr:col>10</xdr:col>
      <xdr:colOff>373380</xdr:colOff>
      <xdr:row>2</xdr:row>
      <xdr:rowOff>91440</xdr:rowOff>
    </xdr:to>
    <xdr:sp macro="" textlink="">
      <xdr:nvSpPr>
        <xdr:cNvPr id="26" name="Speech Bubble: Rectangle with Corners Rounded 25">
          <a:extLst>
            <a:ext uri="{FF2B5EF4-FFF2-40B4-BE49-F238E27FC236}">
              <a16:creationId xmlns:a16="http://schemas.microsoft.com/office/drawing/2014/main" id="{5C730DFE-B5E3-4BFA-BC18-4AB4C07E7ACC}"/>
            </a:ext>
          </a:extLst>
        </xdr:cNvPr>
        <xdr:cNvSpPr/>
      </xdr:nvSpPr>
      <xdr:spPr>
        <a:xfrm>
          <a:off x="8907780" y="601980"/>
          <a:ext cx="1127760" cy="304800"/>
        </a:xfrm>
        <a:prstGeom prst="wedgeRoundRectCallout">
          <a:avLst/>
        </a:prstGeom>
        <a:solidFill>
          <a:srgbClr val="FFC00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IN" sz="1100" b="0" i="0" u="none" strike="noStrike" kern="0" cap="none" spc="0" normalizeH="0" baseline="0" noProof="0">
            <a:ln>
              <a:noFill/>
            </a:ln>
            <a:solidFill>
              <a:sysClr val="window" lastClr="FFFFFF"/>
            </a:solidFill>
            <a:effectLst/>
            <a:uLnTx/>
            <a:uFillTx/>
            <a:latin typeface="Aptos Narrow" panose="02110004020202020204"/>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9</xdr:col>
          <xdr:colOff>861060</xdr:colOff>
          <xdr:row>1</xdr:row>
          <xdr:rowOff>464820</xdr:rowOff>
        </xdr:from>
        <xdr:to>
          <xdr:col>10</xdr:col>
          <xdr:colOff>472440</xdr:colOff>
          <xdr:row>2</xdr:row>
          <xdr:rowOff>15240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690766CA-199E-E276-698E-5415911FFAE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929640</xdr:colOff>
          <xdr:row>1</xdr:row>
          <xdr:rowOff>441960</xdr:rowOff>
        </xdr:from>
        <xdr:to>
          <xdr:col>7</xdr:col>
          <xdr:colOff>381000</xdr:colOff>
          <xdr:row>2</xdr:row>
          <xdr:rowOff>30480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74A74E5E-A50C-BDE5-A740-EA6090371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3</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YOTI SHARMA" refreshedDate="46007.923880555558" createdVersion="8" refreshedVersion="8" minRefreshableVersion="3" recordCount="24" xr:uid="{2B210A0B-8612-4877-9B61-E6AFFFBC8CA4}">
  <cacheSource type="worksheet">
    <worksheetSource ref="A1:L25" sheet="Sheet1"/>
  </cacheSource>
  <cacheFields count="12">
    <cacheField name="Emp Code" numFmtId="0">
      <sharedItems count="24">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haredItems>
    </cacheField>
    <cacheField name="Sales Executive" numFmtId="0">
      <sharedItems count="24">
        <s v="Radhika sharma"/>
        <s v="Jyoti Sharma"/>
        <s v="Abhay chaudhary"/>
        <s v="Krishna chaudhary"/>
        <s v="Krish verma"/>
        <s v="kishori kumari"/>
        <s v="Radha verma"/>
        <s v="Raj Malhotra"/>
        <s v="Suraj Sharma"/>
        <s v="Shaurya Raj"/>
        <s v="Kanina verma"/>
        <s v="Surry "/>
        <s v="Ram sharma"/>
        <s v="Sita Sharma"/>
        <s v="Kokila Modi"/>
        <s v="Gopi Chaudhary"/>
        <s v="Raj verma"/>
        <s v="Rohtash Sharma"/>
        <s v="Mamta Sharma"/>
        <s v="Prince Sharma"/>
        <s v="Manu Sharma"/>
        <s v="Madhav"/>
        <s v=" Sanu chaudhary"/>
        <s v="Devansh sharma"/>
      </sharedItems>
    </cacheField>
    <cacheField name="Region" numFmtId="0">
      <sharedItems count="8">
        <s v="Mumbai"/>
        <s v="Delhi"/>
        <s v="Nagpur"/>
        <s v="Patna"/>
        <s v="Pune"/>
        <s v="Surat"/>
        <s v="Ranchi"/>
        <s v="Kolkata"/>
      </sharedItems>
    </cacheField>
    <cacheField name="Day 1" numFmtId="0">
      <sharedItems containsSemiMixedTypes="0" containsString="0" containsNumber="1" containsInteger="1" minValue="15" maxValue="97" count="19">
        <n v="49"/>
        <n v="44"/>
        <n v="34"/>
        <n v="54"/>
        <n v="23"/>
        <n v="65"/>
        <n v="45"/>
        <n v="53"/>
        <n v="25"/>
        <n v="19"/>
        <n v="21"/>
        <n v="15"/>
        <n v="24"/>
        <n v="63"/>
        <n v="26"/>
        <n v="85"/>
        <n v="69"/>
        <n v="97"/>
        <n v="30"/>
      </sharedItems>
    </cacheField>
    <cacheField name="Day  2" numFmtId="0">
      <sharedItems containsSemiMixedTypes="0" containsString="0" containsNumber="1" containsInteger="1" minValue="12" maxValue="90" count="17">
        <n v="84"/>
        <n v="90"/>
        <n v="56"/>
        <n v="43"/>
        <n v="80"/>
        <n v="34"/>
        <n v="25"/>
        <n v="64"/>
        <n v="86"/>
        <n v="23"/>
        <n v="22"/>
        <n v="12"/>
        <n v="54"/>
        <n v="24"/>
        <n v="65"/>
        <n v="50"/>
        <n v="32"/>
      </sharedItems>
    </cacheField>
    <cacheField name="Day 3" numFmtId="0">
      <sharedItems containsSemiMixedTypes="0" containsString="0" containsNumber="1" containsInteger="1" minValue="12" maxValue="87"/>
    </cacheField>
    <cacheField name="Day 4" numFmtId="0">
      <sharedItems containsSemiMixedTypes="0" containsString="0" containsNumber="1" containsInteger="1" minValue="12" maxValue="126"/>
    </cacheField>
    <cacheField name="Day 5" numFmtId="0">
      <sharedItems containsSemiMixedTypes="0" containsString="0" containsNumber="1" containsInteger="1" minValue="14" maxValue="96"/>
    </cacheField>
    <cacheField name="Total sales" numFmtId="0">
      <sharedItems containsSemiMixedTypes="0" containsString="0" containsNumber="1" containsInteger="1" minValue="109" maxValue="353"/>
    </cacheField>
    <cacheField name="Target " numFmtId="0">
      <sharedItems containsSemiMixedTypes="0" containsString="0" containsNumber="1" containsInteger="1" minValue="500" maxValue="500"/>
    </cacheField>
    <cacheField name="Target hit %" numFmtId="0">
      <sharedItems containsSemiMixedTypes="0" containsString="0" containsNumber="1" minValue="21.8" maxValue="70.599999999999994"/>
    </cacheField>
    <cacheField name="Target away %" numFmtId="0">
      <sharedItems containsSemiMixedTypes="0" containsString="0" containsNumber="1" minValue="29.400000000000006" maxValue="78.2" count="23">
        <n v="36.6"/>
        <n v="34.799999999999997"/>
        <n v="29.400000000000006"/>
        <n v="61"/>
        <n v="59.599999999999994"/>
        <n v="52"/>
        <n v="52.2"/>
        <n v="58"/>
        <n v="45.599999999999994"/>
        <n v="43.000000000000007"/>
        <n v="55.8"/>
        <n v="63.800000000000004"/>
        <n v="56.6"/>
        <n v="75.599999999999994"/>
        <n v="61.6"/>
        <n v="78.2"/>
        <n v="58.2"/>
        <n v="59.4"/>
        <n v="51.2"/>
        <n v="36.199999999999996"/>
        <n v="51.4"/>
        <n v="50"/>
        <n v="73.2"/>
      </sharedItems>
    </cacheField>
  </cacheFields>
  <extLst>
    <ext xmlns:x14="http://schemas.microsoft.com/office/spreadsheetml/2009/9/main" uri="{725AE2AE-9491-48be-B2B4-4EB974FC3084}">
      <x14:pivotCacheDefinition pivotCacheId="11094857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x v="0"/>
    <x v="0"/>
    <x v="0"/>
    <x v="0"/>
    <x v="0"/>
    <n v="54"/>
    <n v="55"/>
    <n v="75"/>
    <n v="317"/>
    <n v="500"/>
    <n v="63.4"/>
    <x v="0"/>
  </r>
  <r>
    <x v="1"/>
    <x v="1"/>
    <x v="1"/>
    <x v="1"/>
    <x v="1"/>
    <n v="43"/>
    <n v="59"/>
    <n v="90"/>
    <n v="326"/>
    <n v="500"/>
    <n v="65.2"/>
    <x v="1"/>
  </r>
  <r>
    <x v="2"/>
    <x v="2"/>
    <x v="2"/>
    <x v="2"/>
    <x v="2"/>
    <n v="74"/>
    <n v="126"/>
    <n v="63"/>
    <n v="353"/>
    <n v="500"/>
    <n v="70.599999999999994"/>
    <x v="2"/>
  </r>
  <r>
    <x v="3"/>
    <x v="3"/>
    <x v="0"/>
    <x v="3"/>
    <x v="3"/>
    <n v="12"/>
    <n v="25"/>
    <n v="61"/>
    <n v="195"/>
    <n v="500"/>
    <n v="39"/>
    <x v="3"/>
  </r>
  <r>
    <x v="4"/>
    <x v="4"/>
    <x v="3"/>
    <x v="4"/>
    <x v="4"/>
    <n v="32"/>
    <n v="15"/>
    <n v="52"/>
    <n v="202"/>
    <n v="500"/>
    <n v="40.400000000000006"/>
    <x v="4"/>
  </r>
  <r>
    <x v="5"/>
    <x v="5"/>
    <x v="1"/>
    <x v="5"/>
    <x v="5"/>
    <n v="67"/>
    <n v="25"/>
    <n v="49"/>
    <n v="240"/>
    <n v="500"/>
    <n v="48"/>
    <x v="5"/>
  </r>
  <r>
    <x v="6"/>
    <x v="6"/>
    <x v="4"/>
    <x v="6"/>
    <x v="3"/>
    <n v="54"/>
    <n v="45"/>
    <n v="52"/>
    <n v="239"/>
    <n v="500"/>
    <n v="47.8"/>
    <x v="6"/>
  </r>
  <r>
    <x v="7"/>
    <x v="7"/>
    <x v="5"/>
    <x v="2"/>
    <x v="6"/>
    <n v="24"/>
    <n v="85"/>
    <n v="42"/>
    <n v="210"/>
    <n v="500"/>
    <n v="42"/>
    <x v="7"/>
  </r>
  <r>
    <x v="8"/>
    <x v="8"/>
    <x v="1"/>
    <x v="7"/>
    <x v="7"/>
    <n v="87"/>
    <n v="54"/>
    <n v="14"/>
    <n v="272"/>
    <n v="500"/>
    <n v="54.400000000000006"/>
    <x v="8"/>
  </r>
  <r>
    <x v="9"/>
    <x v="9"/>
    <x v="2"/>
    <x v="8"/>
    <x v="8"/>
    <n v="23"/>
    <n v="88"/>
    <n v="63"/>
    <n v="285"/>
    <n v="500"/>
    <n v="56.999999999999993"/>
    <x v="9"/>
  </r>
  <r>
    <x v="10"/>
    <x v="10"/>
    <x v="3"/>
    <x v="5"/>
    <x v="9"/>
    <n v="54"/>
    <n v="45"/>
    <n v="34"/>
    <n v="221"/>
    <n v="500"/>
    <n v="44.2"/>
    <x v="10"/>
  </r>
  <r>
    <x v="11"/>
    <x v="11"/>
    <x v="4"/>
    <x v="2"/>
    <x v="3"/>
    <n v="24"/>
    <n v="51"/>
    <n v="29"/>
    <n v="181"/>
    <n v="500"/>
    <n v="36.199999999999996"/>
    <x v="11"/>
  </r>
  <r>
    <x v="12"/>
    <x v="12"/>
    <x v="6"/>
    <x v="9"/>
    <x v="10"/>
    <n v="44"/>
    <n v="54"/>
    <n v="78"/>
    <n v="217"/>
    <n v="500"/>
    <n v="43.4"/>
    <x v="12"/>
  </r>
  <r>
    <x v="13"/>
    <x v="13"/>
    <x v="2"/>
    <x v="10"/>
    <x v="11"/>
    <n v="32"/>
    <n v="12"/>
    <n v="45"/>
    <n v="122"/>
    <n v="500"/>
    <n v="24.4"/>
    <x v="13"/>
  </r>
  <r>
    <x v="14"/>
    <x v="14"/>
    <x v="7"/>
    <x v="2"/>
    <x v="3"/>
    <n v="65"/>
    <n v="24"/>
    <n v="26"/>
    <n v="192"/>
    <n v="500"/>
    <n v="38.4"/>
    <x v="14"/>
  </r>
  <r>
    <x v="15"/>
    <x v="15"/>
    <x v="0"/>
    <x v="11"/>
    <x v="9"/>
    <n v="25"/>
    <n v="25"/>
    <n v="21"/>
    <n v="109"/>
    <n v="500"/>
    <n v="21.8"/>
    <x v="15"/>
  </r>
  <r>
    <x v="16"/>
    <x v="16"/>
    <x v="3"/>
    <x v="12"/>
    <x v="12"/>
    <n v="73"/>
    <n v="28"/>
    <n v="30"/>
    <n v="209"/>
    <n v="500"/>
    <n v="41.8"/>
    <x v="16"/>
  </r>
  <r>
    <x v="17"/>
    <x v="17"/>
    <x v="7"/>
    <x v="13"/>
    <x v="9"/>
    <n v="24"/>
    <n v="53"/>
    <n v="40"/>
    <n v="203"/>
    <n v="500"/>
    <n v="40.6"/>
    <x v="17"/>
  </r>
  <r>
    <x v="18"/>
    <x v="18"/>
    <x v="6"/>
    <x v="14"/>
    <x v="2"/>
    <n v="76"/>
    <n v="61"/>
    <n v="25"/>
    <n v="244"/>
    <n v="500"/>
    <n v="48.8"/>
    <x v="18"/>
  </r>
  <r>
    <x v="19"/>
    <x v="19"/>
    <x v="0"/>
    <x v="15"/>
    <x v="3"/>
    <n v="54"/>
    <n v="74"/>
    <n v="63"/>
    <n v="319"/>
    <n v="500"/>
    <n v="63.800000000000004"/>
    <x v="19"/>
  </r>
  <r>
    <x v="20"/>
    <x v="20"/>
    <x v="5"/>
    <x v="6"/>
    <x v="13"/>
    <n v="33"/>
    <n v="45"/>
    <n v="96"/>
    <n v="243"/>
    <n v="500"/>
    <n v="48.6"/>
    <x v="20"/>
  </r>
  <r>
    <x v="21"/>
    <x v="21"/>
    <x v="1"/>
    <x v="16"/>
    <x v="14"/>
    <n v="76"/>
    <n v="64"/>
    <n v="45"/>
    <n v="319"/>
    <n v="500"/>
    <n v="63.800000000000004"/>
    <x v="19"/>
  </r>
  <r>
    <x v="22"/>
    <x v="22"/>
    <x v="5"/>
    <x v="17"/>
    <x v="15"/>
    <n v="27"/>
    <n v="52"/>
    <n v="24"/>
    <n v="250"/>
    <n v="500"/>
    <n v="50"/>
    <x v="21"/>
  </r>
  <r>
    <x v="23"/>
    <x v="23"/>
    <x v="4"/>
    <x v="18"/>
    <x v="16"/>
    <n v="24"/>
    <n v="32"/>
    <n v="16"/>
    <n v="134"/>
    <n v="500"/>
    <n v="26.8"/>
    <x v="2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FCE2C87-BC48-4C03-9FEB-413249C17106}" name="PivotTable11"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Emp_code  and Names">
  <location ref="J4:K12" firstHeaderRow="1" firstDataRow="1" firstDataCol="1"/>
  <pivotFields count="12">
    <pivotField axis="axisRow" showAll="0" measureFilter="1">
      <items count="25">
        <item x="0"/>
        <item x="1"/>
        <item x="2"/>
        <item x="3"/>
        <item x="4"/>
        <item x="5"/>
        <item x="6"/>
        <item x="7"/>
        <item x="8"/>
        <item x="9"/>
        <item x="10"/>
        <item x="11"/>
        <item x="12"/>
        <item x="13"/>
        <item x="14"/>
        <item x="15"/>
        <item x="16"/>
        <item x="17"/>
        <item x="18"/>
        <item x="19"/>
        <item x="20"/>
        <item x="21"/>
        <item x="22"/>
        <item x="23"/>
        <item t="default"/>
      </items>
    </pivotField>
    <pivotField axis="axisRow" showAll="0" measureFilter="1">
      <items count="25">
        <item x="22"/>
        <item x="2"/>
        <item x="23"/>
        <item x="15"/>
        <item x="1"/>
        <item x="10"/>
        <item x="5"/>
        <item x="14"/>
        <item x="4"/>
        <item x="3"/>
        <item x="21"/>
        <item x="18"/>
        <item x="20"/>
        <item x="19"/>
        <item x="6"/>
        <item x="0"/>
        <item x="7"/>
        <item x="16"/>
        <item x="12"/>
        <item x="17"/>
        <item x="9"/>
        <item x="13"/>
        <item x="8"/>
        <item x="11"/>
        <item t="default"/>
      </items>
    </pivotField>
    <pivotField showAll="0">
      <items count="9">
        <item h="1" x="1"/>
        <item h="1" x="7"/>
        <item x="0"/>
        <item h="1" x="2"/>
        <item h="1" x="3"/>
        <item h="1" x="4"/>
        <item h="1" x="6"/>
        <item h="1" x="5"/>
        <item t="default"/>
      </items>
    </pivotField>
    <pivotField showAll="0"/>
    <pivotField showAll="0"/>
    <pivotField showAll="0"/>
    <pivotField showAll="0"/>
    <pivotField showAll="0"/>
    <pivotField showAll="0"/>
    <pivotField showAll="0"/>
    <pivotField showAll="0"/>
    <pivotField dataField="1" showAll="0">
      <items count="24">
        <item x="2"/>
        <item x="1"/>
        <item x="19"/>
        <item x="0"/>
        <item x="9"/>
        <item x="8"/>
        <item x="21"/>
        <item x="18"/>
        <item x="20"/>
        <item x="5"/>
        <item x="6"/>
        <item x="10"/>
        <item x="12"/>
        <item x="7"/>
        <item x="16"/>
        <item x="17"/>
        <item x="4"/>
        <item x="3"/>
        <item x="14"/>
        <item x="11"/>
        <item x="22"/>
        <item x="13"/>
        <item x="15"/>
        <item t="default"/>
      </items>
    </pivotField>
  </pivotFields>
  <rowFields count="2">
    <field x="0"/>
    <field x="1"/>
  </rowFields>
  <rowItems count="8">
    <i>
      <x/>
    </i>
    <i r="1">
      <x v="15"/>
    </i>
    <i>
      <x v="3"/>
    </i>
    <i r="1">
      <x v="9"/>
    </i>
    <i>
      <x v="15"/>
    </i>
    <i r="1">
      <x v="3"/>
    </i>
    <i>
      <x v="19"/>
    </i>
    <i r="1">
      <x v="13"/>
    </i>
  </rowItems>
  <colItems count="1">
    <i/>
  </colItems>
  <dataFields count="1">
    <dataField name="Target away % " fld="11" baseField="1" baseItem="21"/>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0" type="count" evalOrder="-1" id="8" iMeasureFld="0">
      <autoFilter ref="A1">
        <filterColumn colId="0">
          <top10 val="5" filterVal="5"/>
        </filterColumn>
      </autoFilter>
    </filter>
    <filter fld="1" type="sum" evalOrder="-1" id="7"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40E0567-C265-4E44-B129-F2857C7DB508}" name="PivotTable10"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rowHeaderCaption="Emp_code  and Names">
  <location ref="G4:H12" firstHeaderRow="1" firstDataRow="1" firstDataCol="1"/>
  <pivotFields count="12">
    <pivotField axis="axisRow" showAll="0" measureFilter="1">
      <items count="25">
        <item x="0"/>
        <item x="1"/>
        <item x="2"/>
        <item x="3"/>
        <item x="4"/>
        <item x="5"/>
        <item x="6"/>
        <item x="7"/>
        <item x="8"/>
        <item x="9"/>
        <item x="10"/>
        <item x="11"/>
        <item x="12"/>
        <item x="13"/>
        <item x="14"/>
        <item x="15"/>
        <item x="16"/>
        <item x="17"/>
        <item x="18"/>
        <item x="19"/>
        <item x="20"/>
        <item x="21"/>
        <item x="22"/>
        <item x="23"/>
        <item t="default"/>
      </items>
    </pivotField>
    <pivotField axis="axisRow" showAll="0">
      <items count="25">
        <item x="22"/>
        <item x="2"/>
        <item x="23"/>
        <item x="15"/>
        <item x="1"/>
        <item x="10"/>
        <item x="5"/>
        <item x="14"/>
        <item x="4"/>
        <item x="3"/>
        <item x="21"/>
        <item x="18"/>
        <item x="20"/>
        <item x="19"/>
        <item x="6"/>
        <item x="0"/>
        <item x="7"/>
        <item x="16"/>
        <item x="12"/>
        <item x="17"/>
        <item x="9"/>
        <item x="13"/>
        <item x="8"/>
        <item x="11"/>
        <item t="default"/>
      </items>
    </pivotField>
    <pivotField showAll="0">
      <items count="9">
        <item h="1" x="1"/>
        <item h="1" x="7"/>
        <item x="0"/>
        <item h="1" x="2"/>
        <item h="1" x="3"/>
        <item h="1" x="4"/>
        <item h="1" x="6"/>
        <item h="1" x="5"/>
        <item t="default"/>
      </items>
    </pivotField>
    <pivotField showAll="0"/>
    <pivotField showAll="0"/>
    <pivotField showAll="0"/>
    <pivotField showAll="0"/>
    <pivotField showAll="0"/>
    <pivotField showAll="0"/>
    <pivotField showAll="0"/>
    <pivotField dataField="1" showAll="0"/>
    <pivotField showAll="0"/>
  </pivotFields>
  <rowFields count="2">
    <field x="0"/>
    <field x="1"/>
  </rowFields>
  <rowItems count="8">
    <i>
      <x/>
    </i>
    <i r="1">
      <x v="15"/>
    </i>
    <i>
      <x v="3"/>
    </i>
    <i r="1">
      <x v="9"/>
    </i>
    <i>
      <x v="15"/>
    </i>
    <i r="1">
      <x v="3"/>
    </i>
    <i>
      <x v="19"/>
    </i>
    <i r="1">
      <x v="13"/>
    </i>
  </rowItems>
  <colItems count="1">
    <i/>
  </colItems>
  <dataFields count="1">
    <dataField name="Target hit % " fld="10"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0" count="1" selected="0">
            <x v="21"/>
          </reference>
          <reference field="1" count="1" selected="0">
            <x v="10"/>
          </reference>
        </references>
      </pivotArea>
    </chartFormat>
    <chartFormat chart="0" format="2">
      <pivotArea type="data" outline="0" fieldPosition="0">
        <references count="3">
          <reference field="4294967294" count="1" selected="0">
            <x v="0"/>
          </reference>
          <reference field="0" count="1" selected="0">
            <x v="2"/>
          </reference>
          <reference field="1" count="1" selected="0">
            <x v="1"/>
          </reference>
        </references>
      </pivotArea>
    </chartFormat>
    <chartFormat chart="0" format="3">
      <pivotArea type="data" outline="0" fieldPosition="0">
        <references count="3">
          <reference field="4294967294" count="1" selected="0">
            <x v="0"/>
          </reference>
          <reference field="0" count="1" selected="0">
            <x v="1"/>
          </reference>
          <reference field="1" count="1" selected="0">
            <x v="4"/>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91643C9-30E1-47B2-9FDF-4735671A3CAE}" name="PivotTable5"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Emp_code  and Names">
  <location ref="D4:E13" firstHeaderRow="1" firstDataRow="1" firstDataCol="1"/>
  <pivotFields count="12">
    <pivotField axis="axisRow" showAll="0" measureFilter="1">
      <items count="25">
        <item x="0"/>
        <item x="1"/>
        <item x="2"/>
        <item x="3"/>
        <item x="4"/>
        <item x="5"/>
        <item x="6"/>
        <item x="7"/>
        <item x="8"/>
        <item x="9"/>
        <item x="10"/>
        <item x="11"/>
        <item x="12"/>
        <item x="13"/>
        <item x="14"/>
        <item x="15"/>
        <item x="16"/>
        <item x="17"/>
        <item x="18"/>
        <item x="19"/>
        <item x="20"/>
        <item x="21"/>
        <item x="22"/>
        <item x="23"/>
        <item t="default"/>
      </items>
    </pivotField>
    <pivotField axis="axisRow" showAll="0">
      <items count="25">
        <item x="22"/>
        <item x="2"/>
        <item x="23"/>
        <item x="15"/>
        <item x="1"/>
        <item x="10"/>
        <item x="5"/>
        <item x="14"/>
        <item x="4"/>
        <item x="3"/>
        <item x="21"/>
        <item x="18"/>
        <item x="20"/>
        <item x="19"/>
        <item x="6"/>
        <item x="0"/>
        <item x="7"/>
        <item x="16"/>
        <item x="12"/>
        <item x="17"/>
        <item x="9"/>
        <item x="13"/>
        <item x="8"/>
        <item x="11"/>
        <item t="default"/>
      </items>
    </pivotField>
    <pivotField showAll="0">
      <items count="9">
        <item h="1" x="1"/>
        <item h="1" x="7"/>
        <item x="0"/>
        <item h="1" x="2"/>
        <item h="1" x="3"/>
        <item h="1" x="4"/>
        <item h="1" x="6"/>
        <item h="1" x="5"/>
        <item t="default"/>
      </items>
    </pivotField>
    <pivotField showAll="0">
      <items count="20">
        <item x="11"/>
        <item x="9"/>
        <item x="10"/>
        <item x="4"/>
        <item x="12"/>
        <item x="8"/>
        <item x="14"/>
        <item x="18"/>
        <item x="2"/>
        <item x="1"/>
        <item x="6"/>
        <item x="0"/>
        <item x="7"/>
        <item x="3"/>
        <item x="13"/>
        <item x="5"/>
        <item x="16"/>
        <item x="15"/>
        <item x="17"/>
        <item t="default"/>
      </items>
    </pivotField>
    <pivotField showAll="0"/>
    <pivotField showAll="0"/>
    <pivotField showAll="0"/>
    <pivotField showAll="0"/>
    <pivotField dataField="1" showAll="0"/>
    <pivotField showAll="0"/>
    <pivotField showAll="0"/>
    <pivotField showAll="0"/>
  </pivotFields>
  <rowFields count="2">
    <field x="0"/>
    <field x="1"/>
  </rowFields>
  <rowItems count="9">
    <i>
      <x/>
    </i>
    <i r="1">
      <x v="15"/>
    </i>
    <i>
      <x v="3"/>
    </i>
    <i r="1">
      <x v="9"/>
    </i>
    <i>
      <x v="15"/>
    </i>
    <i r="1">
      <x v="3"/>
    </i>
    <i>
      <x v="19"/>
    </i>
    <i r="1">
      <x v="13"/>
    </i>
    <i t="grand">
      <x/>
    </i>
  </rowItems>
  <colItems count="1">
    <i/>
  </colItems>
  <dataFields count="1">
    <dataField name="Sum of Total sales" fld="8"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D2ACBAA-9967-4AF9-BACF-FA0595DC51DD}"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Emp_code  and Names">
  <location ref="A4:B13" firstHeaderRow="1" firstDataRow="1" firstDataCol="1"/>
  <pivotFields count="12">
    <pivotField axis="axisRow" showAll="0" measureFilter="1">
      <items count="25">
        <item x="0"/>
        <item x="1"/>
        <item x="2"/>
        <item x="3"/>
        <item x="4"/>
        <item x="5"/>
        <item x="6"/>
        <item x="7"/>
        <item x="8"/>
        <item x="9"/>
        <item x="10"/>
        <item x="11"/>
        <item x="12"/>
        <item x="13"/>
        <item x="14"/>
        <item x="15"/>
        <item x="16"/>
        <item x="17"/>
        <item x="18"/>
        <item x="19"/>
        <item x="20"/>
        <item x="21"/>
        <item x="22"/>
        <item x="23"/>
        <item t="default"/>
      </items>
    </pivotField>
    <pivotField axis="axisRow" showAll="0">
      <items count="25">
        <item x="22"/>
        <item x="2"/>
        <item x="23"/>
        <item x="15"/>
        <item x="1"/>
        <item x="10"/>
        <item x="5"/>
        <item x="14"/>
        <item x="4"/>
        <item x="3"/>
        <item x="21"/>
        <item x="18"/>
        <item x="20"/>
        <item x="19"/>
        <item x="6"/>
        <item x="0"/>
        <item x="7"/>
        <item x="16"/>
        <item x="12"/>
        <item x="17"/>
        <item x="9"/>
        <item x="13"/>
        <item x="8"/>
        <item x="11"/>
        <item t="default"/>
      </items>
    </pivotField>
    <pivotField showAll="0">
      <items count="9">
        <item h="1" x="1"/>
        <item h="1" x="7"/>
        <item x="0"/>
        <item h="1" x="2"/>
        <item h="1" x="3"/>
        <item h="1" x="4"/>
        <item h="1" x="6"/>
        <item h="1" x="5"/>
        <item t="default"/>
      </items>
    </pivotField>
    <pivotField showAll="0">
      <items count="20">
        <item x="11"/>
        <item x="9"/>
        <item x="10"/>
        <item x="4"/>
        <item x="12"/>
        <item x="8"/>
        <item x="14"/>
        <item x="18"/>
        <item x="2"/>
        <item x="1"/>
        <item x="6"/>
        <item x="0"/>
        <item x="7"/>
        <item x="3"/>
        <item x="13"/>
        <item x="5"/>
        <item x="16"/>
        <item x="15"/>
        <item x="17"/>
        <item t="default"/>
      </items>
    </pivotField>
    <pivotField showAll="0"/>
    <pivotField showAll="0"/>
    <pivotField showAll="0"/>
    <pivotField showAll="0"/>
    <pivotField dataField="1" showAll="0"/>
    <pivotField showAll="0"/>
    <pivotField showAll="0"/>
    <pivotField showAll="0"/>
  </pivotFields>
  <rowFields count="2">
    <field x="0"/>
    <field x="1"/>
  </rowFields>
  <rowItems count="9">
    <i>
      <x/>
    </i>
    <i r="1">
      <x v="15"/>
    </i>
    <i>
      <x v="3"/>
    </i>
    <i r="1">
      <x v="9"/>
    </i>
    <i>
      <x v="15"/>
    </i>
    <i r="1">
      <x v="3"/>
    </i>
    <i>
      <x v="19"/>
    </i>
    <i r="1">
      <x v="13"/>
    </i>
    <i t="grand">
      <x/>
    </i>
  </rowItems>
  <colItems count="1">
    <i/>
  </colItems>
  <dataFields count="1">
    <dataField name="Sum of Total sales" fld="8" baseField="0" baseItem="0"/>
  </dataFields>
  <chartFormats count="1">
    <chartFormat chart="3"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0"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EFCC597-DD6F-47D0-9F9E-19D3F4E5CC30}" sourceName="Region">
  <pivotTables>
    <pivotTable tabId="4" name="PivotTable4"/>
    <pivotTable tabId="4" name="PivotTable10"/>
    <pivotTable tabId="4" name="PivotTable11"/>
    <pivotTable tabId="4" name="PivotTable5"/>
  </pivotTables>
  <data>
    <tabular pivotCacheId="1109485708">
      <items count="8">
        <i x="1"/>
        <i x="7"/>
        <i x="0" s="1"/>
        <i x="2"/>
        <i x="3"/>
        <i x="4"/>
        <i x="6"/>
        <i x="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D3354C1-A07C-41C6-A490-54E8B2D96A29}" cache="Slicer_Region" caption="Region" columnCount="8" showCaption="0" style="Slicer Style 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E868E-0FA3-43E6-A9A1-1143A8B34F88}">
  <sheetPr codeName="Sheet1"/>
  <dimension ref="A1:V73"/>
  <sheetViews>
    <sheetView tabSelected="1" workbookViewId="0">
      <selection activeCell="G7" sqref="G7"/>
    </sheetView>
  </sheetViews>
  <sheetFormatPr defaultRowHeight="14.4" x14ac:dyDescent="0.3"/>
  <cols>
    <col min="1" max="1" width="22.109375" bestFit="1" customWidth="1"/>
    <col min="2" max="2" width="15.88671875" bestFit="1" customWidth="1"/>
    <col min="3" max="3" width="3.5546875" customWidth="1"/>
    <col min="4" max="4" width="22.109375" bestFit="1" customWidth="1"/>
    <col min="5" max="5" width="15.88671875" bestFit="1" customWidth="1"/>
    <col min="6" max="6" width="3.33203125" customWidth="1"/>
    <col min="7" max="7" width="22.109375" bestFit="1" customWidth="1"/>
    <col min="8" max="8" width="10.88671875" bestFit="1" customWidth="1"/>
    <col min="9" max="9" width="2.88671875" customWidth="1"/>
    <col min="10" max="10" width="22.109375" bestFit="1" customWidth="1"/>
    <col min="11" max="11" width="12.88671875" bestFit="1" customWidth="1"/>
    <col min="12" max="12" width="18.77734375" bestFit="1" customWidth="1"/>
  </cols>
  <sheetData>
    <row r="1" spans="1:22" x14ac:dyDescent="0.3">
      <c r="A1" s="7" t="b">
        <v>1</v>
      </c>
      <c r="B1" s="7"/>
      <c r="C1" s="7"/>
      <c r="D1" s="7" t="b">
        <v>0</v>
      </c>
      <c r="E1" s="7"/>
      <c r="F1" s="7"/>
      <c r="G1" s="7" t="b">
        <v>0</v>
      </c>
      <c r="H1" s="7"/>
      <c r="I1" s="7"/>
      <c r="J1" s="7" t="b">
        <v>0</v>
      </c>
      <c r="K1" s="7"/>
      <c r="L1" s="7"/>
      <c r="M1" s="7"/>
      <c r="N1" s="7"/>
      <c r="O1" s="7"/>
      <c r="P1" s="7"/>
      <c r="Q1" s="7"/>
      <c r="R1" s="7"/>
      <c r="S1" s="7"/>
      <c r="T1" s="7"/>
      <c r="U1" s="7"/>
      <c r="V1" s="7"/>
    </row>
    <row r="2" spans="1:22" ht="49.8" customHeight="1" x14ac:dyDescent="0.3">
      <c r="A2" s="7"/>
      <c r="B2" s="7"/>
      <c r="C2" s="7"/>
      <c r="D2" s="7"/>
      <c r="E2" s="7"/>
      <c r="F2" s="7"/>
      <c r="G2" s="7"/>
      <c r="H2" s="7"/>
      <c r="I2" s="7"/>
      <c r="J2" s="7"/>
      <c r="K2" s="7"/>
      <c r="L2" s="7"/>
      <c r="M2" s="7"/>
      <c r="N2" s="7"/>
      <c r="O2" s="7"/>
      <c r="P2" s="7"/>
      <c r="Q2" s="7"/>
      <c r="R2" s="7"/>
      <c r="S2" s="7"/>
      <c r="T2" s="7"/>
      <c r="U2" s="7"/>
      <c r="V2" s="7"/>
    </row>
    <row r="3" spans="1:22" s="7" customFormat="1" ht="15" customHeight="1" x14ac:dyDescent="0.3"/>
    <row r="4" spans="1:22" x14ac:dyDescent="0.3">
      <c r="A4" s="3" t="s">
        <v>72</v>
      </c>
      <c r="B4" t="s">
        <v>69</v>
      </c>
      <c r="C4" s="7"/>
      <c r="D4" s="3" t="s">
        <v>72</v>
      </c>
      <c r="E4" t="s">
        <v>69</v>
      </c>
      <c r="F4" s="7"/>
      <c r="G4" s="3" t="s">
        <v>72</v>
      </c>
      <c r="H4" t="s">
        <v>70</v>
      </c>
      <c r="I4" s="7"/>
      <c r="J4" s="3" t="s">
        <v>72</v>
      </c>
      <c r="K4" t="s">
        <v>71</v>
      </c>
      <c r="L4" s="7"/>
      <c r="M4" s="7"/>
      <c r="N4" s="7"/>
      <c r="O4" s="7"/>
      <c r="P4" s="7"/>
      <c r="Q4" s="7"/>
      <c r="R4" s="7"/>
      <c r="S4" s="7"/>
      <c r="T4" s="7"/>
      <c r="U4" s="7"/>
      <c r="V4" s="7"/>
    </row>
    <row r="5" spans="1:22" x14ac:dyDescent="0.3">
      <c r="A5" s="4" t="s">
        <v>1</v>
      </c>
      <c r="B5" s="6">
        <v>317</v>
      </c>
      <c r="C5" s="7"/>
      <c r="D5" s="4" t="s">
        <v>1</v>
      </c>
      <c r="E5" s="6">
        <v>317</v>
      </c>
      <c r="F5" s="7"/>
      <c r="G5" s="4" t="s">
        <v>1</v>
      </c>
      <c r="H5" s="6">
        <v>63.4</v>
      </c>
      <c r="I5" s="7"/>
      <c r="J5" s="4" t="s">
        <v>1</v>
      </c>
      <c r="K5" s="6">
        <v>36.6</v>
      </c>
      <c r="L5" s="7"/>
      <c r="M5" s="7"/>
      <c r="N5" s="7"/>
      <c r="O5" s="7"/>
      <c r="P5" s="7"/>
      <c r="Q5" s="7"/>
      <c r="R5" s="7"/>
      <c r="S5" s="7"/>
      <c r="T5" s="7"/>
      <c r="U5" s="7"/>
      <c r="V5" s="7"/>
    </row>
    <row r="6" spans="1:22" x14ac:dyDescent="0.3">
      <c r="A6" s="5" t="s">
        <v>26</v>
      </c>
      <c r="B6" s="6">
        <v>317</v>
      </c>
      <c r="C6" s="7"/>
      <c r="D6" s="5" t="s">
        <v>26</v>
      </c>
      <c r="E6" s="6">
        <v>317</v>
      </c>
      <c r="F6" s="7"/>
      <c r="G6" s="5" t="s">
        <v>26</v>
      </c>
      <c r="H6" s="6">
        <v>63.4</v>
      </c>
      <c r="I6" s="7"/>
      <c r="J6" s="5" t="s">
        <v>26</v>
      </c>
      <c r="K6" s="6">
        <v>36.6</v>
      </c>
      <c r="L6" s="7"/>
      <c r="M6" s="7"/>
      <c r="N6" s="7"/>
      <c r="O6" s="7"/>
      <c r="P6" s="7"/>
      <c r="Q6" s="7"/>
      <c r="R6" s="7"/>
      <c r="S6" s="7"/>
      <c r="T6" s="7"/>
      <c r="U6" s="7"/>
      <c r="V6" s="7"/>
    </row>
    <row r="7" spans="1:22" x14ac:dyDescent="0.3">
      <c r="A7" s="4" t="s">
        <v>4</v>
      </c>
      <c r="B7" s="6">
        <v>195</v>
      </c>
      <c r="C7" s="7" t="s">
        <v>73</v>
      </c>
      <c r="D7" s="4" t="s">
        <v>4</v>
      </c>
      <c r="E7" s="6">
        <v>195</v>
      </c>
      <c r="F7" s="7"/>
      <c r="G7" s="4" t="s">
        <v>4</v>
      </c>
      <c r="H7" s="6">
        <v>39</v>
      </c>
      <c r="I7" s="7"/>
      <c r="J7" s="4" t="s">
        <v>4</v>
      </c>
      <c r="K7" s="6">
        <v>61</v>
      </c>
      <c r="L7" s="7"/>
      <c r="M7" s="7"/>
      <c r="N7" s="7"/>
      <c r="O7" s="7"/>
      <c r="P7" s="7"/>
      <c r="Q7" s="7"/>
      <c r="R7" s="7"/>
      <c r="S7" s="7"/>
      <c r="T7" s="7"/>
      <c r="U7" s="7"/>
      <c r="V7" s="7"/>
    </row>
    <row r="8" spans="1:22" x14ac:dyDescent="0.3">
      <c r="A8" s="5" t="s">
        <v>29</v>
      </c>
      <c r="B8" s="6">
        <v>195</v>
      </c>
      <c r="C8" s="7"/>
      <c r="D8" s="5" t="s">
        <v>29</v>
      </c>
      <c r="E8" s="6">
        <v>195</v>
      </c>
      <c r="F8" s="7"/>
      <c r="G8" s="5" t="s">
        <v>29</v>
      </c>
      <c r="H8" s="6">
        <v>39</v>
      </c>
      <c r="I8" s="7"/>
      <c r="J8" s="5" t="s">
        <v>29</v>
      </c>
      <c r="K8" s="6">
        <v>61</v>
      </c>
      <c r="L8" s="7"/>
      <c r="M8" s="7"/>
      <c r="N8" s="7"/>
      <c r="O8" s="7"/>
      <c r="P8" s="7"/>
      <c r="Q8" s="7"/>
      <c r="R8" s="7"/>
      <c r="S8" s="7"/>
      <c r="T8" s="7"/>
      <c r="U8" s="7"/>
      <c r="V8" s="7"/>
    </row>
    <row r="9" spans="1:22" x14ac:dyDescent="0.3">
      <c r="A9" s="4" t="s">
        <v>16</v>
      </c>
      <c r="B9" s="6">
        <v>109</v>
      </c>
      <c r="C9" s="7"/>
      <c r="D9" s="4" t="s">
        <v>16</v>
      </c>
      <c r="E9" s="6">
        <v>109</v>
      </c>
      <c r="F9" s="7"/>
      <c r="G9" s="4" t="s">
        <v>16</v>
      </c>
      <c r="H9" s="6">
        <v>21.8</v>
      </c>
      <c r="I9" s="7"/>
      <c r="J9" s="4" t="s">
        <v>16</v>
      </c>
      <c r="K9" s="6">
        <v>78.2</v>
      </c>
      <c r="L9" s="7"/>
      <c r="M9" s="7"/>
      <c r="N9" s="7"/>
      <c r="O9" s="7"/>
      <c r="P9" s="7"/>
      <c r="Q9" s="7"/>
      <c r="R9" s="7"/>
      <c r="S9" s="7"/>
      <c r="T9" s="7"/>
      <c r="U9" s="7"/>
      <c r="V9" s="7"/>
    </row>
    <row r="10" spans="1:22" x14ac:dyDescent="0.3">
      <c r="A10" s="5" t="s">
        <v>41</v>
      </c>
      <c r="B10" s="6">
        <v>109</v>
      </c>
      <c r="C10" s="7"/>
      <c r="D10" s="5" t="s">
        <v>41</v>
      </c>
      <c r="E10" s="6">
        <v>109</v>
      </c>
      <c r="F10" s="7"/>
      <c r="G10" s="5" t="s">
        <v>41</v>
      </c>
      <c r="H10" s="6">
        <v>21.8</v>
      </c>
      <c r="I10" s="7"/>
      <c r="J10" s="5" t="s">
        <v>41</v>
      </c>
      <c r="K10" s="6">
        <v>78.2</v>
      </c>
      <c r="L10" s="7"/>
      <c r="M10" s="7"/>
      <c r="N10" s="7"/>
      <c r="O10" s="7"/>
      <c r="P10" s="7"/>
      <c r="Q10" s="7"/>
      <c r="R10" s="7"/>
      <c r="S10" s="7"/>
      <c r="T10" s="7"/>
      <c r="U10" s="7"/>
      <c r="V10" s="7"/>
    </row>
    <row r="11" spans="1:22" x14ac:dyDescent="0.3">
      <c r="A11" s="4" t="s">
        <v>20</v>
      </c>
      <c r="B11" s="6">
        <v>319</v>
      </c>
      <c r="C11" s="7"/>
      <c r="D11" s="4" t="s">
        <v>20</v>
      </c>
      <c r="E11" s="6">
        <v>319</v>
      </c>
      <c r="F11" s="7"/>
      <c r="G11" s="4" t="s">
        <v>20</v>
      </c>
      <c r="H11" s="6">
        <v>63.800000000000004</v>
      </c>
      <c r="I11" s="7"/>
      <c r="J11" s="4" t="s">
        <v>20</v>
      </c>
      <c r="K11" s="6">
        <v>36.199999999999996</v>
      </c>
      <c r="L11" s="7"/>
      <c r="M11" s="7"/>
      <c r="N11" s="7"/>
      <c r="O11" s="7"/>
      <c r="P11" s="7"/>
      <c r="Q11" s="7"/>
      <c r="R11" s="7"/>
      <c r="S11" s="7"/>
      <c r="T11" s="7"/>
      <c r="U11" s="7"/>
      <c r="V11" s="7"/>
    </row>
    <row r="12" spans="1:22" x14ac:dyDescent="0.3">
      <c r="A12" s="5" t="s">
        <v>45</v>
      </c>
      <c r="B12" s="6">
        <v>319</v>
      </c>
      <c r="C12" s="7"/>
      <c r="D12" s="5" t="s">
        <v>45</v>
      </c>
      <c r="E12" s="6">
        <v>319</v>
      </c>
      <c r="F12" s="7"/>
      <c r="G12" s="5" t="s">
        <v>45</v>
      </c>
      <c r="H12" s="6">
        <v>63.800000000000004</v>
      </c>
      <c r="I12" s="7"/>
      <c r="J12" s="5" t="s">
        <v>45</v>
      </c>
      <c r="K12" s="6">
        <v>36.199999999999996</v>
      </c>
      <c r="L12" s="7"/>
      <c r="M12" s="7"/>
      <c r="N12" s="7"/>
      <c r="O12" s="7"/>
      <c r="P12" s="7"/>
      <c r="Q12" s="7"/>
      <c r="R12" s="7"/>
      <c r="S12" s="7"/>
      <c r="T12" s="7"/>
      <c r="U12" s="7"/>
      <c r="V12" s="7"/>
    </row>
    <row r="13" spans="1:22" x14ac:dyDescent="0.3">
      <c r="A13" s="4" t="s">
        <v>68</v>
      </c>
      <c r="B13" s="6">
        <v>940</v>
      </c>
      <c r="C13" s="7"/>
      <c r="D13" s="4" t="s">
        <v>68</v>
      </c>
      <c r="E13" s="6">
        <v>940</v>
      </c>
      <c r="F13" s="7"/>
      <c r="I13" s="7"/>
      <c r="L13" s="7"/>
      <c r="M13" s="7"/>
      <c r="N13" s="7"/>
      <c r="O13" s="7"/>
      <c r="P13" s="7"/>
      <c r="Q13" s="7"/>
      <c r="R13" s="7"/>
      <c r="S13" s="7"/>
      <c r="T13" s="7"/>
      <c r="U13" s="7"/>
      <c r="V13" s="7"/>
    </row>
    <row r="14" spans="1:22" x14ac:dyDescent="0.3">
      <c r="A14" s="7"/>
      <c r="B14" s="7"/>
      <c r="C14" s="7"/>
      <c r="D14" s="7"/>
      <c r="E14" s="7"/>
      <c r="F14" s="7"/>
      <c r="G14" s="7"/>
      <c r="H14" s="7"/>
      <c r="I14" s="7"/>
      <c r="J14" s="7"/>
      <c r="K14" s="7"/>
      <c r="L14" s="7"/>
      <c r="M14" s="7"/>
      <c r="N14" s="7"/>
      <c r="O14" s="7"/>
      <c r="P14" s="7"/>
      <c r="Q14" s="7"/>
      <c r="R14" s="7"/>
      <c r="S14" s="7"/>
      <c r="T14" s="7"/>
      <c r="U14" s="7"/>
      <c r="V14" s="7"/>
    </row>
    <row r="15" spans="1:22" x14ac:dyDescent="0.3">
      <c r="A15" s="7"/>
      <c r="B15" s="7"/>
      <c r="C15" s="7"/>
      <c r="D15" s="7"/>
      <c r="E15" s="7"/>
      <c r="F15" s="7"/>
      <c r="G15" s="7"/>
      <c r="H15" s="7"/>
      <c r="I15" s="7"/>
      <c r="J15" s="7"/>
      <c r="K15" s="7"/>
      <c r="L15" s="7"/>
      <c r="M15" s="7"/>
      <c r="N15" s="7"/>
      <c r="O15" s="7"/>
      <c r="P15" s="7"/>
      <c r="Q15" s="7"/>
      <c r="R15" s="7"/>
      <c r="S15" s="7"/>
      <c r="T15" s="7"/>
      <c r="U15" s="7"/>
      <c r="V15" s="7"/>
    </row>
    <row r="16" spans="1:22" x14ac:dyDescent="0.3">
      <c r="A16" s="7"/>
      <c r="B16" s="7"/>
      <c r="C16" s="7"/>
      <c r="D16" s="7"/>
      <c r="E16" s="7"/>
      <c r="F16" s="7"/>
      <c r="G16" s="7"/>
      <c r="H16" s="7"/>
      <c r="I16" s="7"/>
      <c r="J16" s="7"/>
      <c r="K16" s="7"/>
      <c r="L16" s="7"/>
      <c r="M16" s="7"/>
      <c r="N16" s="7"/>
      <c r="O16" s="7"/>
      <c r="P16" s="7"/>
      <c r="Q16" s="7"/>
      <c r="R16" s="7"/>
      <c r="S16" s="7"/>
      <c r="T16" s="7"/>
      <c r="U16" s="7"/>
      <c r="V16" s="7"/>
    </row>
    <row r="17" spans="1:22" x14ac:dyDescent="0.3">
      <c r="A17" s="8"/>
      <c r="B17" s="8"/>
      <c r="C17" s="7"/>
      <c r="D17" s="8"/>
      <c r="E17" s="8"/>
      <c r="F17" s="7"/>
      <c r="G17" s="8"/>
      <c r="H17" s="8"/>
      <c r="I17" s="7"/>
      <c r="J17" s="8"/>
      <c r="K17" s="8"/>
      <c r="L17" s="7"/>
      <c r="M17" s="7"/>
      <c r="N17" s="7"/>
      <c r="O17" s="7"/>
      <c r="P17" s="7"/>
      <c r="Q17" s="7"/>
      <c r="R17" s="7"/>
      <c r="S17" s="7"/>
      <c r="T17" s="7"/>
      <c r="U17" s="7"/>
      <c r="V17" s="7"/>
    </row>
    <row r="18" spans="1:22" x14ac:dyDescent="0.3">
      <c r="A18" s="7"/>
      <c r="B18" s="7"/>
      <c r="C18" s="7"/>
      <c r="D18" s="7"/>
      <c r="E18" s="7"/>
      <c r="F18" s="7"/>
      <c r="G18" s="7"/>
      <c r="H18" s="7"/>
      <c r="I18" s="7"/>
      <c r="J18" s="7"/>
      <c r="K18" s="7"/>
      <c r="L18" s="7"/>
      <c r="M18" s="7"/>
      <c r="N18" s="7"/>
      <c r="O18" s="7"/>
      <c r="P18" s="7"/>
      <c r="Q18" s="7"/>
      <c r="R18" s="7"/>
      <c r="S18" s="7"/>
      <c r="T18" s="7"/>
      <c r="U18" s="7"/>
      <c r="V18" s="7"/>
    </row>
    <row r="19" spans="1:22" x14ac:dyDescent="0.3">
      <c r="A19" s="7"/>
      <c r="B19" s="7"/>
      <c r="C19" s="7"/>
      <c r="D19" s="7"/>
      <c r="E19" s="7"/>
      <c r="F19" s="7"/>
      <c r="G19" s="7"/>
      <c r="H19" s="7"/>
      <c r="I19" s="7"/>
      <c r="J19" s="7"/>
      <c r="K19" s="7"/>
      <c r="L19" s="7"/>
      <c r="M19" s="7"/>
      <c r="N19" s="7"/>
      <c r="O19" s="7"/>
      <c r="P19" s="7"/>
      <c r="Q19" s="7"/>
      <c r="R19" s="7"/>
      <c r="S19" s="7"/>
      <c r="T19" s="7"/>
      <c r="U19" s="7"/>
      <c r="V19" s="7"/>
    </row>
    <row r="20" spans="1:22" x14ac:dyDescent="0.3">
      <c r="A20" s="7"/>
      <c r="B20" s="7"/>
      <c r="C20" s="7"/>
      <c r="D20" s="7"/>
      <c r="E20" s="7"/>
      <c r="F20" s="7"/>
      <c r="G20" s="7"/>
      <c r="H20" s="7"/>
      <c r="I20" s="7"/>
      <c r="J20" s="7"/>
      <c r="K20" s="7"/>
      <c r="L20" s="7"/>
      <c r="M20" s="7"/>
      <c r="N20" s="7"/>
      <c r="O20" s="7"/>
      <c r="P20" s="7"/>
      <c r="Q20" s="7"/>
      <c r="R20" s="7"/>
      <c r="S20" s="7"/>
      <c r="T20" s="7"/>
      <c r="U20" s="7"/>
      <c r="V20" s="7"/>
    </row>
    <row r="21" spans="1:22" x14ac:dyDescent="0.3">
      <c r="A21" s="7"/>
      <c r="B21" s="7"/>
      <c r="C21" s="7"/>
      <c r="D21" s="7"/>
      <c r="E21" s="7"/>
      <c r="F21" s="7"/>
      <c r="G21" s="7"/>
      <c r="H21" s="7"/>
      <c r="I21" s="7"/>
      <c r="J21" s="7"/>
      <c r="K21" s="7"/>
      <c r="L21" s="7"/>
      <c r="M21" s="7"/>
      <c r="N21" s="7"/>
      <c r="O21" s="7"/>
      <c r="P21" s="7"/>
      <c r="Q21" s="7"/>
      <c r="R21" s="7"/>
      <c r="S21" s="7"/>
      <c r="T21" s="7"/>
      <c r="U21" s="7"/>
      <c r="V21" s="7"/>
    </row>
    <row r="22" spans="1:22" x14ac:dyDescent="0.3">
      <c r="A22" s="7"/>
      <c r="B22" s="7"/>
      <c r="C22" s="7"/>
      <c r="D22" s="7"/>
      <c r="E22" s="7"/>
      <c r="F22" s="7"/>
      <c r="G22" s="7"/>
      <c r="H22" s="7"/>
      <c r="I22" s="7"/>
      <c r="J22" s="7"/>
      <c r="K22" s="7"/>
      <c r="L22" s="7"/>
      <c r="M22" s="7"/>
      <c r="N22" s="7"/>
      <c r="O22" s="7"/>
      <c r="P22" s="7"/>
      <c r="Q22" s="7"/>
      <c r="R22" s="7"/>
      <c r="S22" s="7"/>
      <c r="T22" s="7"/>
      <c r="U22" s="7"/>
      <c r="V22" s="7"/>
    </row>
    <row r="23" spans="1:22" x14ac:dyDescent="0.3">
      <c r="A23" s="7"/>
      <c r="B23" s="7"/>
      <c r="C23" s="7"/>
      <c r="D23" s="7"/>
      <c r="E23" s="7"/>
      <c r="F23" s="7"/>
      <c r="G23" s="7"/>
      <c r="H23" s="7"/>
      <c r="I23" s="7"/>
      <c r="J23" s="7"/>
      <c r="K23" s="7"/>
      <c r="L23" s="7"/>
      <c r="M23" s="7"/>
      <c r="N23" s="7"/>
      <c r="O23" s="7"/>
      <c r="P23" s="7"/>
      <c r="Q23" s="7"/>
      <c r="R23" s="7"/>
      <c r="S23" s="7"/>
      <c r="T23" s="7"/>
      <c r="U23" s="7"/>
      <c r="V23" s="7"/>
    </row>
    <row r="24" spans="1:22" x14ac:dyDescent="0.3">
      <c r="A24" s="7"/>
      <c r="B24" s="7"/>
      <c r="C24" s="7"/>
      <c r="D24" s="7"/>
      <c r="E24" s="7"/>
      <c r="F24" s="7"/>
      <c r="G24" s="7"/>
      <c r="H24" s="7"/>
      <c r="I24" s="7"/>
      <c r="J24" s="7"/>
      <c r="K24" s="7"/>
      <c r="L24" s="7"/>
      <c r="M24" s="7"/>
      <c r="N24" s="7"/>
      <c r="O24" s="7"/>
      <c r="P24" s="7"/>
      <c r="Q24" s="7"/>
      <c r="R24" s="7"/>
      <c r="S24" s="7"/>
      <c r="T24" s="7"/>
      <c r="U24" s="7"/>
      <c r="V24" s="7"/>
    </row>
    <row r="25" spans="1:22" x14ac:dyDescent="0.3">
      <c r="A25" s="7"/>
      <c r="B25" s="7"/>
      <c r="C25" s="7"/>
      <c r="D25" s="7"/>
      <c r="E25" s="7"/>
      <c r="F25" s="7"/>
      <c r="G25" s="7"/>
      <c r="H25" s="7"/>
      <c r="I25" s="7"/>
      <c r="J25" s="7"/>
      <c r="K25" s="7"/>
      <c r="L25" s="7"/>
      <c r="M25" s="7"/>
      <c r="N25" s="7"/>
      <c r="O25" s="7"/>
      <c r="P25" s="7"/>
      <c r="Q25" s="7"/>
      <c r="R25" s="7"/>
      <c r="S25" s="7"/>
      <c r="T25" s="7"/>
      <c r="U25" s="7"/>
      <c r="V25" s="7"/>
    </row>
    <row r="26" spans="1:22" x14ac:dyDescent="0.3">
      <c r="A26" s="7"/>
      <c r="B26" s="7"/>
      <c r="C26" s="7"/>
      <c r="D26" s="7"/>
      <c r="E26" s="7"/>
      <c r="F26" s="7"/>
      <c r="G26" s="7"/>
      <c r="H26" s="7"/>
      <c r="I26" s="7"/>
      <c r="J26" s="7"/>
      <c r="K26" s="7"/>
      <c r="L26" s="7"/>
      <c r="M26" s="7"/>
      <c r="N26" s="7"/>
      <c r="O26" s="7"/>
      <c r="P26" s="7"/>
      <c r="Q26" s="7"/>
      <c r="R26" s="7"/>
      <c r="S26" s="7"/>
      <c r="T26" s="7"/>
      <c r="U26" s="7"/>
      <c r="V26" s="7"/>
    </row>
    <row r="27" spans="1:22" x14ac:dyDescent="0.3">
      <c r="A27" s="7"/>
      <c r="B27" s="7"/>
      <c r="C27" s="7"/>
      <c r="D27" s="7"/>
      <c r="E27" s="7"/>
      <c r="F27" s="7"/>
      <c r="G27" s="7"/>
      <c r="H27" s="7"/>
      <c r="I27" s="7"/>
      <c r="J27" s="7"/>
      <c r="K27" s="7"/>
      <c r="L27" s="7"/>
      <c r="M27" s="7"/>
      <c r="N27" s="7"/>
      <c r="O27" s="7"/>
      <c r="P27" s="7"/>
      <c r="Q27" s="7"/>
      <c r="R27" s="7"/>
      <c r="S27" s="7"/>
      <c r="T27" s="7"/>
      <c r="U27" s="7"/>
      <c r="V27" s="7"/>
    </row>
    <row r="28" spans="1:22" x14ac:dyDescent="0.3">
      <c r="A28" s="7"/>
      <c r="B28" s="7"/>
      <c r="C28" s="7"/>
      <c r="D28" s="7"/>
      <c r="E28" s="7"/>
      <c r="F28" s="7"/>
      <c r="G28" s="7"/>
      <c r="H28" s="7"/>
      <c r="I28" s="7"/>
      <c r="J28" s="7"/>
      <c r="K28" s="7"/>
      <c r="L28" s="7"/>
      <c r="M28" s="7"/>
      <c r="N28" s="7"/>
      <c r="O28" s="7"/>
      <c r="P28" s="7"/>
      <c r="Q28" s="7"/>
      <c r="R28" s="7"/>
      <c r="S28" s="7"/>
      <c r="T28" s="7"/>
      <c r="U28" s="7"/>
      <c r="V28" s="7"/>
    </row>
    <row r="29" spans="1:22" x14ac:dyDescent="0.3">
      <c r="A29" s="7"/>
      <c r="B29" s="7"/>
      <c r="C29" s="7"/>
      <c r="D29" s="7"/>
      <c r="E29" s="7"/>
      <c r="F29" s="7"/>
      <c r="G29" s="7"/>
      <c r="H29" s="7"/>
      <c r="I29" s="7"/>
      <c r="J29" s="7"/>
      <c r="K29" s="7"/>
      <c r="L29" s="7"/>
      <c r="M29" s="7"/>
      <c r="N29" s="7"/>
      <c r="O29" s="7"/>
      <c r="P29" s="7"/>
      <c r="Q29" s="7"/>
      <c r="R29" s="7"/>
      <c r="S29" s="7"/>
      <c r="T29" s="7"/>
      <c r="U29" s="7"/>
      <c r="V29" s="7"/>
    </row>
    <row r="30" spans="1:22" x14ac:dyDescent="0.3">
      <c r="A30" s="7"/>
      <c r="B30" s="7"/>
      <c r="C30" s="7"/>
      <c r="D30" s="7"/>
      <c r="E30" s="7"/>
      <c r="F30" s="7"/>
      <c r="G30" s="7"/>
      <c r="H30" s="7"/>
      <c r="I30" s="7"/>
      <c r="J30" s="7"/>
      <c r="K30" s="7"/>
      <c r="L30" s="7"/>
      <c r="M30" s="7"/>
      <c r="N30" s="7"/>
      <c r="O30" s="7"/>
      <c r="P30" s="7"/>
      <c r="Q30" s="7"/>
      <c r="R30" s="7"/>
      <c r="S30" s="7"/>
      <c r="T30" s="7"/>
      <c r="U30" s="7"/>
      <c r="V30" s="7"/>
    </row>
    <row r="31" spans="1:22" x14ac:dyDescent="0.3">
      <c r="A31" s="7"/>
      <c r="B31" s="7"/>
      <c r="C31" s="7"/>
      <c r="D31" s="7"/>
      <c r="E31" s="7"/>
      <c r="F31" s="7"/>
      <c r="G31" s="7"/>
      <c r="H31" s="7"/>
      <c r="I31" s="7"/>
      <c r="J31" s="7"/>
      <c r="K31" s="7"/>
      <c r="L31" s="7"/>
      <c r="M31" s="7"/>
      <c r="N31" s="7"/>
      <c r="O31" s="7"/>
      <c r="P31" s="7"/>
      <c r="Q31" s="7"/>
      <c r="R31" s="7"/>
      <c r="S31" s="7"/>
      <c r="T31" s="7"/>
      <c r="U31" s="7"/>
      <c r="V31" s="7"/>
    </row>
    <row r="32" spans="1:22" x14ac:dyDescent="0.3">
      <c r="A32" s="7"/>
      <c r="B32" s="7"/>
      <c r="C32" s="7"/>
      <c r="D32" s="7"/>
      <c r="E32" s="7"/>
      <c r="F32" s="7"/>
      <c r="G32" s="7"/>
      <c r="H32" s="7"/>
      <c r="I32" s="7"/>
      <c r="J32" s="7"/>
      <c r="K32" s="7"/>
      <c r="L32" s="7"/>
      <c r="M32" s="7"/>
      <c r="N32" s="7"/>
      <c r="O32" s="7"/>
      <c r="P32" s="7"/>
      <c r="Q32" s="7"/>
      <c r="R32" s="7"/>
      <c r="S32" s="7"/>
      <c r="T32" s="7"/>
      <c r="U32" s="7"/>
      <c r="V32" s="7"/>
    </row>
    <row r="33" spans="1:22" x14ac:dyDescent="0.3">
      <c r="A33" s="7"/>
      <c r="B33" s="7"/>
      <c r="C33" s="7"/>
      <c r="D33" s="7"/>
      <c r="E33" s="7"/>
      <c r="F33" s="7"/>
      <c r="G33" s="7"/>
      <c r="H33" s="7"/>
      <c r="I33" s="7"/>
      <c r="J33" s="7"/>
      <c r="K33" s="7"/>
      <c r="L33" s="7"/>
      <c r="M33" s="7"/>
      <c r="N33" s="7"/>
      <c r="O33" s="7"/>
      <c r="P33" s="7"/>
      <c r="Q33" s="7"/>
      <c r="R33" s="7"/>
      <c r="S33" s="7"/>
      <c r="T33" s="7"/>
      <c r="U33" s="7"/>
      <c r="V33" s="7"/>
    </row>
    <row r="34" spans="1:22" x14ac:dyDescent="0.3">
      <c r="A34" s="7"/>
      <c r="B34" s="7"/>
      <c r="C34" s="7"/>
      <c r="D34" s="7"/>
      <c r="E34" s="7"/>
      <c r="F34" s="7"/>
      <c r="G34" s="7"/>
      <c r="H34" s="7"/>
      <c r="I34" s="7"/>
      <c r="J34" s="7"/>
      <c r="K34" s="7"/>
      <c r="L34" s="7"/>
      <c r="M34" s="7"/>
      <c r="N34" s="7"/>
      <c r="O34" s="7"/>
      <c r="P34" s="7"/>
      <c r="Q34" s="7"/>
      <c r="R34" s="7"/>
      <c r="S34" s="7"/>
      <c r="T34" s="7"/>
      <c r="U34" s="7"/>
      <c r="V34" s="7"/>
    </row>
    <row r="35" spans="1:22" x14ac:dyDescent="0.3">
      <c r="A35" s="7"/>
      <c r="B35" s="7"/>
      <c r="C35" s="7"/>
      <c r="D35" s="7"/>
      <c r="E35" s="7"/>
      <c r="F35" s="7"/>
      <c r="G35" s="7"/>
      <c r="H35" s="7"/>
      <c r="I35" s="7"/>
      <c r="J35" s="7"/>
      <c r="K35" s="7"/>
      <c r="L35" s="7"/>
      <c r="M35" s="7"/>
      <c r="N35" s="7"/>
      <c r="O35" s="7"/>
      <c r="P35" s="7"/>
      <c r="Q35" s="7"/>
      <c r="R35" s="7"/>
      <c r="S35" s="7"/>
      <c r="T35" s="7"/>
      <c r="U35" s="7"/>
      <c r="V35" s="7"/>
    </row>
    <row r="36" spans="1:22" x14ac:dyDescent="0.3">
      <c r="A36" s="7"/>
      <c r="B36" s="7"/>
      <c r="C36" s="7"/>
      <c r="D36" s="7"/>
      <c r="E36" s="7"/>
      <c r="F36" s="7"/>
      <c r="G36" s="7"/>
      <c r="H36" s="7"/>
      <c r="I36" s="7"/>
      <c r="J36" s="7"/>
      <c r="K36" s="7"/>
      <c r="L36" s="7"/>
      <c r="M36" s="7"/>
      <c r="N36" s="7"/>
      <c r="O36" s="7"/>
      <c r="P36" s="7"/>
      <c r="Q36" s="7"/>
      <c r="R36" s="7"/>
      <c r="S36" s="7"/>
      <c r="T36" s="7"/>
      <c r="U36" s="7"/>
      <c r="V36" s="7"/>
    </row>
    <row r="37" spans="1:22" x14ac:dyDescent="0.3">
      <c r="A37" s="7"/>
      <c r="B37" s="7"/>
      <c r="C37" s="7"/>
      <c r="D37" s="7"/>
      <c r="E37" s="7"/>
      <c r="F37" s="7"/>
      <c r="G37" s="7"/>
      <c r="H37" s="7"/>
      <c r="I37" s="7"/>
      <c r="J37" s="7"/>
      <c r="K37" s="7"/>
      <c r="L37" s="7"/>
      <c r="M37" s="7"/>
      <c r="N37" s="7"/>
      <c r="O37" s="7"/>
      <c r="P37" s="7"/>
      <c r="Q37" s="7"/>
      <c r="R37" s="7"/>
      <c r="S37" s="7"/>
      <c r="T37" s="7"/>
      <c r="U37" s="7"/>
      <c r="V37" s="7"/>
    </row>
    <row r="38" spans="1:22" x14ac:dyDescent="0.3">
      <c r="A38" s="7"/>
      <c r="B38" s="7"/>
      <c r="C38" s="7"/>
      <c r="D38" s="7"/>
      <c r="E38" s="7"/>
      <c r="F38" s="7"/>
      <c r="G38" s="7"/>
      <c r="H38" s="7"/>
      <c r="I38" s="7"/>
      <c r="J38" s="7"/>
      <c r="K38" s="7"/>
      <c r="L38" s="7"/>
      <c r="M38" s="7"/>
      <c r="N38" s="7"/>
      <c r="O38" s="7"/>
      <c r="P38" s="7"/>
      <c r="Q38" s="7"/>
      <c r="R38" s="7"/>
      <c r="S38" s="7"/>
      <c r="T38" s="7"/>
      <c r="U38" s="7"/>
      <c r="V38" s="7"/>
    </row>
    <row r="39" spans="1:22" x14ac:dyDescent="0.3">
      <c r="A39" s="7"/>
      <c r="B39" s="7"/>
      <c r="C39" s="7"/>
      <c r="D39" s="7"/>
      <c r="E39" s="7"/>
      <c r="F39" s="7"/>
      <c r="G39" s="7"/>
      <c r="H39" s="7"/>
      <c r="I39" s="7"/>
      <c r="J39" s="7"/>
      <c r="K39" s="7"/>
      <c r="L39" s="7"/>
      <c r="M39" s="7"/>
      <c r="N39" s="7"/>
      <c r="O39" s="7"/>
      <c r="P39" s="7"/>
      <c r="Q39" s="7"/>
      <c r="R39" s="7"/>
      <c r="S39" s="7"/>
      <c r="T39" s="7"/>
      <c r="U39" s="7"/>
      <c r="V39" s="7"/>
    </row>
    <row r="40" spans="1:22" x14ac:dyDescent="0.3">
      <c r="A40" s="7"/>
      <c r="B40" s="7"/>
      <c r="C40" s="7"/>
      <c r="D40" s="7"/>
      <c r="E40" s="7"/>
      <c r="F40" s="7"/>
      <c r="G40" s="7"/>
      <c r="H40" s="7"/>
      <c r="I40" s="7"/>
      <c r="J40" s="7"/>
      <c r="K40" s="7"/>
      <c r="L40" s="7"/>
      <c r="M40" s="7"/>
      <c r="N40" s="7"/>
      <c r="O40" s="7"/>
      <c r="P40" s="7"/>
      <c r="Q40" s="7"/>
      <c r="R40" s="7"/>
      <c r="S40" s="7"/>
      <c r="T40" s="7"/>
      <c r="U40" s="7"/>
      <c r="V40" s="7"/>
    </row>
    <row r="41" spans="1:22" x14ac:dyDescent="0.3">
      <c r="A41" s="7"/>
      <c r="B41" s="7"/>
      <c r="C41" s="7"/>
      <c r="D41" s="7"/>
      <c r="E41" s="7"/>
      <c r="F41" s="7"/>
      <c r="G41" s="7"/>
      <c r="H41" s="7"/>
      <c r="I41" s="7"/>
      <c r="J41" s="7"/>
      <c r="K41" s="7"/>
      <c r="L41" s="7"/>
      <c r="M41" s="7"/>
      <c r="N41" s="7"/>
      <c r="O41" s="7"/>
      <c r="P41" s="7"/>
      <c r="Q41" s="7"/>
      <c r="R41" s="7"/>
      <c r="S41" s="7"/>
      <c r="T41" s="7"/>
      <c r="U41" s="7"/>
      <c r="V41" s="7"/>
    </row>
    <row r="42" spans="1:22" x14ac:dyDescent="0.3">
      <c r="A42" s="7"/>
      <c r="B42" s="7"/>
      <c r="C42" s="7"/>
      <c r="D42" s="7"/>
      <c r="E42" s="7"/>
      <c r="F42" s="7"/>
      <c r="G42" s="7"/>
      <c r="H42" s="7"/>
      <c r="I42" s="7"/>
      <c r="J42" s="7"/>
      <c r="K42" s="7"/>
      <c r="L42" s="7"/>
      <c r="M42" s="7"/>
      <c r="N42" s="7"/>
      <c r="O42" s="7"/>
      <c r="P42" s="7"/>
      <c r="Q42" s="7"/>
      <c r="R42" s="7"/>
      <c r="S42" s="7"/>
      <c r="T42" s="7"/>
      <c r="U42" s="7"/>
      <c r="V42" s="7"/>
    </row>
    <row r="43" spans="1:22" x14ac:dyDescent="0.3">
      <c r="A43" s="7"/>
      <c r="B43" s="7"/>
      <c r="C43" s="7"/>
      <c r="D43" s="7"/>
      <c r="E43" s="7"/>
      <c r="F43" s="7"/>
      <c r="G43" s="7"/>
      <c r="H43" s="7"/>
      <c r="I43" s="7"/>
      <c r="J43" s="7"/>
      <c r="K43" s="7"/>
      <c r="L43" s="7"/>
      <c r="M43" s="7"/>
      <c r="N43" s="7"/>
      <c r="O43" s="7"/>
      <c r="P43" s="7"/>
      <c r="Q43" s="7"/>
      <c r="R43" s="7"/>
      <c r="S43" s="7"/>
      <c r="T43" s="7"/>
      <c r="U43" s="7"/>
      <c r="V43" s="7"/>
    </row>
    <row r="44" spans="1:22" x14ac:dyDescent="0.3">
      <c r="A44" s="7"/>
      <c r="B44" s="7"/>
      <c r="C44" s="7"/>
      <c r="D44" s="7"/>
      <c r="E44" s="7"/>
      <c r="F44" s="7"/>
      <c r="G44" s="7"/>
      <c r="H44" s="7"/>
      <c r="I44" s="7"/>
      <c r="J44" s="7"/>
      <c r="K44" s="7"/>
      <c r="L44" s="7"/>
      <c r="M44" s="7"/>
      <c r="N44" s="7"/>
      <c r="O44" s="7"/>
      <c r="P44" s="7"/>
      <c r="Q44" s="7"/>
      <c r="R44" s="7"/>
      <c r="S44" s="7"/>
      <c r="T44" s="7"/>
      <c r="U44" s="7"/>
      <c r="V44" s="7"/>
    </row>
    <row r="45" spans="1:22" x14ac:dyDescent="0.3">
      <c r="A45" s="7"/>
      <c r="B45" s="7"/>
      <c r="C45" s="7"/>
      <c r="D45" s="7"/>
      <c r="E45" s="7"/>
      <c r="F45" s="7"/>
      <c r="G45" s="7"/>
      <c r="H45" s="7"/>
      <c r="I45" s="7"/>
      <c r="J45" s="7"/>
      <c r="K45" s="7"/>
      <c r="L45" s="7"/>
      <c r="M45" s="7"/>
      <c r="N45" s="7"/>
      <c r="O45" s="7"/>
      <c r="P45" s="7"/>
      <c r="Q45" s="7"/>
      <c r="R45" s="7"/>
      <c r="S45" s="7"/>
      <c r="T45" s="7"/>
      <c r="U45" s="7"/>
      <c r="V45" s="7"/>
    </row>
    <row r="46" spans="1:22" x14ac:dyDescent="0.3">
      <c r="A46" s="7"/>
      <c r="B46" s="7"/>
      <c r="C46" s="7"/>
      <c r="D46" s="7"/>
      <c r="E46" s="7"/>
      <c r="F46" s="7"/>
      <c r="G46" s="7"/>
      <c r="H46" s="7"/>
      <c r="I46" s="7"/>
      <c r="J46" s="7"/>
      <c r="K46" s="7"/>
      <c r="L46" s="7"/>
      <c r="M46" s="7"/>
      <c r="N46" s="7"/>
      <c r="O46" s="7"/>
      <c r="P46" s="7"/>
      <c r="Q46" s="7"/>
      <c r="R46" s="7"/>
      <c r="S46" s="7"/>
      <c r="T46" s="7"/>
      <c r="U46" s="7"/>
      <c r="V46" s="7"/>
    </row>
    <row r="47" spans="1:22" x14ac:dyDescent="0.3">
      <c r="A47" s="7"/>
      <c r="B47" s="7"/>
      <c r="C47" s="7"/>
      <c r="D47" s="7"/>
      <c r="E47" s="7"/>
      <c r="F47" s="7"/>
      <c r="G47" s="7"/>
      <c r="H47" s="7"/>
      <c r="I47" s="7"/>
      <c r="J47" s="7"/>
      <c r="K47" s="7"/>
      <c r="L47" s="7"/>
      <c r="M47" s="7"/>
      <c r="N47" s="7"/>
      <c r="O47" s="7"/>
      <c r="P47" s="7"/>
      <c r="Q47" s="7"/>
      <c r="R47" s="7"/>
      <c r="S47" s="7"/>
      <c r="T47" s="7"/>
      <c r="U47" s="7"/>
      <c r="V47" s="7"/>
    </row>
    <row r="48" spans="1:22" x14ac:dyDescent="0.3">
      <c r="A48" s="7"/>
      <c r="B48" s="7"/>
      <c r="C48" s="7"/>
      <c r="D48" s="7"/>
      <c r="E48" s="7"/>
      <c r="F48" s="7"/>
      <c r="G48" s="7"/>
      <c r="H48" s="7"/>
      <c r="I48" s="7"/>
      <c r="J48" s="7"/>
      <c r="K48" s="7"/>
      <c r="L48" s="7"/>
      <c r="M48" s="7"/>
      <c r="N48" s="7"/>
      <c r="O48" s="7"/>
      <c r="P48" s="7"/>
      <c r="Q48" s="7"/>
      <c r="R48" s="7"/>
      <c r="S48" s="7"/>
      <c r="T48" s="7"/>
      <c r="U48" s="7"/>
      <c r="V48" s="7"/>
    </row>
    <row r="49" spans="1:22" x14ac:dyDescent="0.3">
      <c r="A49" s="7"/>
      <c r="B49" s="7"/>
      <c r="C49" s="7"/>
      <c r="D49" s="7"/>
      <c r="E49" s="7"/>
      <c r="F49" s="7"/>
      <c r="G49" s="7"/>
      <c r="H49" s="7"/>
      <c r="I49" s="7"/>
      <c r="J49" s="7"/>
      <c r="K49" s="7"/>
      <c r="L49" s="7"/>
      <c r="M49" s="7"/>
      <c r="N49" s="7"/>
      <c r="O49" s="7"/>
      <c r="P49" s="7"/>
      <c r="Q49" s="7"/>
      <c r="R49" s="7"/>
      <c r="S49" s="7"/>
      <c r="T49" s="7"/>
      <c r="U49" s="7"/>
      <c r="V49" s="7"/>
    </row>
    <row r="50" spans="1:22" x14ac:dyDescent="0.3">
      <c r="A50" s="7"/>
      <c r="B50" s="7"/>
      <c r="C50" s="7"/>
      <c r="D50" s="7"/>
      <c r="E50" s="7"/>
      <c r="F50" s="7"/>
      <c r="G50" s="7"/>
      <c r="H50" s="7"/>
      <c r="I50" s="7"/>
      <c r="J50" s="7"/>
      <c r="K50" s="7"/>
      <c r="L50" s="7"/>
      <c r="M50" s="7"/>
      <c r="N50" s="7"/>
      <c r="O50" s="7"/>
      <c r="P50" s="7"/>
      <c r="Q50" s="7"/>
      <c r="R50" s="7"/>
      <c r="S50" s="7"/>
      <c r="T50" s="7"/>
      <c r="U50" s="7"/>
      <c r="V50" s="7"/>
    </row>
    <row r="51" spans="1:22" x14ac:dyDescent="0.3">
      <c r="A51" s="7"/>
      <c r="B51" s="7"/>
      <c r="C51" s="7"/>
      <c r="D51" s="7"/>
      <c r="E51" s="7"/>
      <c r="F51" s="7"/>
      <c r="G51" s="7"/>
      <c r="H51" s="7"/>
      <c r="I51" s="7"/>
      <c r="J51" s="7"/>
      <c r="K51" s="7"/>
      <c r="L51" s="7"/>
      <c r="M51" s="7"/>
      <c r="N51" s="7"/>
      <c r="O51" s="7"/>
      <c r="P51" s="7"/>
      <c r="Q51" s="7"/>
      <c r="R51" s="7"/>
      <c r="S51" s="7"/>
      <c r="T51" s="7"/>
      <c r="U51" s="7"/>
      <c r="V51" s="7"/>
    </row>
    <row r="52" spans="1:22" x14ac:dyDescent="0.3">
      <c r="A52" s="7"/>
      <c r="B52" s="7"/>
      <c r="C52" s="7"/>
      <c r="D52" s="7"/>
      <c r="E52" s="7"/>
      <c r="F52" s="7"/>
      <c r="G52" s="7"/>
      <c r="H52" s="7"/>
      <c r="I52" s="7"/>
      <c r="J52" s="7"/>
      <c r="K52" s="7"/>
      <c r="L52" s="7"/>
      <c r="M52" s="7"/>
      <c r="N52" s="7"/>
      <c r="O52" s="7"/>
      <c r="P52" s="7"/>
      <c r="Q52" s="7"/>
      <c r="R52" s="7"/>
      <c r="S52" s="7"/>
      <c r="T52" s="7"/>
      <c r="U52" s="7"/>
      <c r="V52" s="7"/>
    </row>
    <row r="53" spans="1:22" x14ac:dyDescent="0.3">
      <c r="A53" s="7"/>
      <c r="B53" s="7"/>
      <c r="C53" s="7"/>
      <c r="D53" s="7"/>
      <c r="E53" s="7"/>
      <c r="F53" s="7"/>
      <c r="G53" s="7"/>
      <c r="H53" s="7"/>
      <c r="I53" s="7"/>
      <c r="J53" s="7"/>
      <c r="K53" s="7"/>
      <c r="L53" s="7"/>
      <c r="M53" s="7"/>
      <c r="N53" s="7"/>
      <c r="O53" s="7"/>
      <c r="P53" s="7"/>
      <c r="Q53" s="7"/>
      <c r="R53" s="7"/>
      <c r="S53" s="7"/>
      <c r="T53" s="7"/>
      <c r="U53" s="7"/>
      <c r="V53" s="7"/>
    </row>
    <row r="54" spans="1:22" x14ac:dyDescent="0.3">
      <c r="A54" s="7"/>
      <c r="B54" s="7"/>
      <c r="C54" s="7"/>
      <c r="D54" s="7"/>
      <c r="E54" s="7"/>
      <c r="F54" s="7"/>
      <c r="G54" s="7"/>
      <c r="H54" s="7"/>
      <c r="I54" s="7"/>
      <c r="J54" s="7"/>
      <c r="K54" s="7"/>
      <c r="L54" s="7"/>
      <c r="M54" s="7"/>
      <c r="N54" s="7"/>
      <c r="O54" s="7"/>
      <c r="P54" s="7"/>
      <c r="Q54" s="7"/>
      <c r="R54" s="7"/>
      <c r="S54" s="7"/>
      <c r="T54" s="7"/>
      <c r="U54" s="7"/>
      <c r="V54" s="7"/>
    </row>
    <row r="55" spans="1:22" x14ac:dyDescent="0.3">
      <c r="A55" s="7"/>
      <c r="B55" s="7"/>
      <c r="C55" s="7"/>
      <c r="D55" s="7"/>
      <c r="E55" s="7"/>
      <c r="F55" s="7"/>
      <c r="G55" s="7"/>
      <c r="H55" s="7"/>
      <c r="I55" s="7"/>
      <c r="J55" s="7"/>
      <c r="K55" s="7"/>
      <c r="L55" s="7"/>
      <c r="M55" s="7"/>
      <c r="N55" s="7"/>
      <c r="O55" s="7"/>
      <c r="P55" s="7"/>
      <c r="Q55" s="7"/>
      <c r="R55" s="7"/>
      <c r="S55" s="7"/>
      <c r="T55" s="7"/>
      <c r="U55" s="7"/>
      <c r="V55" s="7"/>
    </row>
    <row r="56" spans="1:22" x14ac:dyDescent="0.3">
      <c r="A56" s="7"/>
      <c r="B56" s="7"/>
      <c r="C56" s="7"/>
      <c r="D56" s="7"/>
      <c r="E56" s="7"/>
      <c r="F56" s="7"/>
      <c r="G56" s="7"/>
      <c r="H56" s="7"/>
      <c r="I56" s="7"/>
      <c r="J56" s="7"/>
      <c r="K56" s="7"/>
      <c r="L56" s="7"/>
      <c r="M56" s="7"/>
      <c r="N56" s="7"/>
      <c r="O56" s="7"/>
      <c r="P56" s="7"/>
      <c r="Q56" s="7"/>
      <c r="R56" s="7"/>
      <c r="S56" s="7"/>
      <c r="T56" s="7"/>
      <c r="U56" s="7"/>
      <c r="V56" s="7"/>
    </row>
    <row r="57" spans="1:22" x14ac:dyDescent="0.3">
      <c r="A57" s="7"/>
      <c r="B57" s="7"/>
      <c r="C57" s="7"/>
      <c r="D57" s="7"/>
      <c r="E57" s="7"/>
      <c r="F57" s="7"/>
      <c r="G57" s="7"/>
      <c r="H57" s="7"/>
      <c r="I57" s="7"/>
      <c r="J57" s="7"/>
      <c r="K57" s="7"/>
      <c r="L57" s="7"/>
      <c r="M57" s="7"/>
      <c r="N57" s="7"/>
      <c r="O57" s="7"/>
      <c r="P57" s="7"/>
      <c r="Q57" s="7"/>
      <c r="R57" s="7"/>
      <c r="S57" s="7"/>
      <c r="T57" s="7"/>
      <c r="U57" s="7"/>
      <c r="V57" s="7"/>
    </row>
    <row r="58" spans="1:22" x14ac:dyDescent="0.3">
      <c r="A58" s="7"/>
      <c r="B58" s="7"/>
      <c r="C58" s="7"/>
      <c r="D58" s="7"/>
      <c r="E58" s="7"/>
      <c r="F58" s="7"/>
      <c r="G58" s="7"/>
      <c r="H58" s="7"/>
      <c r="I58" s="7"/>
      <c r="J58" s="7"/>
      <c r="K58" s="7"/>
      <c r="L58" s="7"/>
      <c r="M58" s="7"/>
      <c r="N58" s="7"/>
      <c r="O58" s="7"/>
      <c r="P58" s="7"/>
      <c r="Q58" s="7"/>
      <c r="R58" s="7"/>
      <c r="S58" s="7"/>
      <c r="T58" s="7"/>
      <c r="U58" s="7"/>
      <c r="V58" s="7"/>
    </row>
    <row r="59" spans="1:22" x14ac:dyDescent="0.3">
      <c r="A59" s="7"/>
      <c r="B59" s="7"/>
      <c r="C59" s="7"/>
      <c r="D59" s="7"/>
      <c r="E59" s="7"/>
      <c r="F59" s="7"/>
      <c r="G59" s="7"/>
      <c r="H59" s="7"/>
      <c r="I59" s="7"/>
      <c r="J59" s="7"/>
      <c r="K59" s="7"/>
      <c r="L59" s="7"/>
      <c r="M59" s="7"/>
      <c r="N59" s="7"/>
      <c r="O59" s="7"/>
      <c r="P59" s="7"/>
      <c r="Q59" s="7"/>
      <c r="R59" s="7"/>
      <c r="S59" s="7"/>
      <c r="T59" s="7"/>
      <c r="U59" s="7"/>
      <c r="V59" s="7"/>
    </row>
    <row r="60" spans="1:22" x14ac:dyDescent="0.3">
      <c r="A60" s="7"/>
      <c r="B60" s="7"/>
      <c r="C60" s="7"/>
      <c r="D60" s="7"/>
      <c r="E60" s="7"/>
      <c r="F60" s="7"/>
      <c r="G60" s="7"/>
      <c r="H60" s="7"/>
      <c r="I60" s="7"/>
      <c r="J60" s="7"/>
      <c r="K60" s="7"/>
      <c r="L60" s="7"/>
      <c r="M60" s="7"/>
      <c r="N60" s="7"/>
      <c r="O60" s="7"/>
      <c r="P60" s="7"/>
      <c r="Q60" s="7"/>
      <c r="R60" s="7"/>
      <c r="S60" s="7"/>
      <c r="T60" s="7"/>
      <c r="U60" s="7"/>
      <c r="V60" s="7"/>
    </row>
    <row r="61" spans="1:22" x14ac:dyDescent="0.3">
      <c r="A61" s="7"/>
      <c r="B61" s="7"/>
      <c r="C61" s="7"/>
      <c r="D61" s="7"/>
      <c r="E61" s="7"/>
      <c r="F61" s="7"/>
      <c r="G61" s="7"/>
      <c r="H61" s="7"/>
      <c r="I61" s="7"/>
      <c r="J61" s="7"/>
      <c r="K61" s="7"/>
      <c r="L61" s="7"/>
      <c r="M61" s="7"/>
      <c r="N61" s="7"/>
      <c r="O61" s="7"/>
      <c r="P61" s="7"/>
      <c r="Q61" s="7"/>
      <c r="R61" s="7"/>
      <c r="S61" s="7"/>
      <c r="T61" s="7"/>
      <c r="U61" s="7"/>
      <c r="V61" s="7"/>
    </row>
    <row r="62" spans="1:22" x14ac:dyDescent="0.3">
      <c r="A62" s="7"/>
      <c r="B62" s="7"/>
      <c r="C62" s="7"/>
      <c r="D62" s="7"/>
      <c r="E62" s="7"/>
      <c r="F62" s="7"/>
      <c r="G62" s="7"/>
      <c r="H62" s="7"/>
      <c r="I62" s="7"/>
      <c r="J62" s="7"/>
      <c r="K62" s="7"/>
      <c r="L62" s="7"/>
      <c r="M62" s="7"/>
      <c r="N62" s="7"/>
      <c r="O62" s="7"/>
      <c r="P62" s="7"/>
      <c r="Q62" s="7"/>
      <c r="R62" s="7"/>
      <c r="S62" s="7"/>
      <c r="T62" s="7"/>
      <c r="U62" s="7"/>
      <c r="V62" s="7"/>
    </row>
    <row r="63" spans="1:22" x14ac:dyDescent="0.3">
      <c r="A63" s="7"/>
      <c r="B63" s="7"/>
      <c r="C63" s="7"/>
      <c r="D63" s="7"/>
      <c r="E63" s="7"/>
      <c r="F63" s="7"/>
      <c r="G63" s="7"/>
      <c r="H63" s="7"/>
      <c r="I63" s="7"/>
      <c r="J63" s="7"/>
      <c r="K63" s="7"/>
      <c r="L63" s="7"/>
      <c r="M63" s="7"/>
      <c r="N63" s="7"/>
      <c r="O63" s="7"/>
      <c r="P63" s="7"/>
      <c r="Q63" s="7"/>
      <c r="R63" s="7"/>
      <c r="S63" s="7"/>
      <c r="T63" s="7"/>
      <c r="U63" s="7"/>
      <c r="V63" s="7"/>
    </row>
    <row r="64" spans="1:22" x14ac:dyDescent="0.3">
      <c r="A64" s="7"/>
      <c r="B64" s="7"/>
      <c r="C64" s="7"/>
      <c r="D64" s="7"/>
      <c r="E64" s="7"/>
      <c r="F64" s="7"/>
      <c r="G64" s="7"/>
      <c r="H64" s="7"/>
      <c r="I64" s="7"/>
      <c r="J64" s="7"/>
      <c r="K64" s="7"/>
      <c r="L64" s="7"/>
      <c r="M64" s="7"/>
      <c r="N64" s="7"/>
      <c r="O64" s="7"/>
      <c r="P64" s="7"/>
      <c r="Q64" s="7"/>
      <c r="R64" s="7"/>
      <c r="S64" s="7"/>
      <c r="T64" s="7"/>
      <c r="U64" s="7"/>
      <c r="V64" s="7"/>
    </row>
    <row r="65" spans="1:22" x14ac:dyDescent="0.3">
      <c r="A65" s="7"/>
      <c r="B65" s="7"/>
      <c r="C65" s="7"/>
      <c r="D65" s="7"/>
      <c r="E65" s="7"/>
      <c r="F65" s="7"/>
      <c r="G65" s="7"/>
      <c r="H65" s="7"/>
      <c r="I65" s="7"/>
      <c r="J65" s="7"/>
      <c r="K65" s="7"/>
      <c r="L65" s="7"/>
      <c r="M65" s="7"/>
      <c r="N65" s="7"/>
      <c r="O65" s="7"/>
      <c r="P65" s="7"/>
      <c r="Q65" s="7"/>
      <c r="R65" s="7"/>
      <c r="S65" s="7"/>
      <c r="T65" s="7"/>
      <c r="U65" s="7"/>
      <c r="V65" s="7"/>
    </row>
    <row r="66" spans="1:22" x14ac:dyDescent="0.3">
      <c r="A66" s="7"/>
      <c r="B66" s="7"/>
      <c r="C66" s="7"/>
      <c r="D66" s="7"/>
      <c r="E66" s="7"/>
      <c r="F66" s="7"/>
      <c r="G66" s="7"/>
      <c r="H66" s="7"/>
      <c r="I66" s="7"/>
      <c r="J66" s="7"/>
      <c r="K66" s="7"/>
      <c r="L66" s="7"/>
      <c r="M66" s="7"/>
      <c r="N66" s="7"/>
      <c r="O66" s="7"/>
      <c r="P66" s="7"/>
      <c r="Q66" s="7"/>
      <c r="R66" s="7"/>
      <c r="S66" s="7"/>
      <c r="T66" s="7"/>
      <c r="U66" s="7"/>
      <c r="V66" s="7"/>
    </row>
    <row r="67" spans="1:22" x14ac:dyDescent="0.3">
      <c r="A67" s="7"/>
      <c r="B67" s="7"/>
      <c r="C67" s="7"/>
      <c r="D67" s="7"/>
      <c r="E67" s="7"/>
      <c r="F67" s="7"/>
      <c r="G67" s="7"/>
      <c r="H67" s="7"/>
      <c r="I67" s="7"/>
      <c r="J67" s="7"/>
      <c r="K67" s="7"/>
      <c r="L67" s="7"/>
      <c r="M67" s="7"/>
      <c r="N67" s="7"/>
      <c r="O67" s="7"/>
      <c r="P67" s="7"/>
      <c r="Q67" s="7"/>
      <c r="R67" s="7"/>
      <c r="S67" s="7"/>
      <c r="T67" s="7"/>
      <c r="U67" s="7"/>
      <c r="V67" s="7"/>
    </row>
    <row r="68" spans="1:22" x14ac:dyDescent="0.3">
      <c r="A68" s="7"/>
      <c r="B68" s="7"/>
      <c r="C68" s="7"/>
      <c r="D68" s="7"/>
      <c r="E68" s="7"/>
      <c r="F68" s="7"/>
      <c r="G68" s="7"/>
      <c r="H68" s="7"/>
      <c r="I68" s="7"/>
      <c r="J68" s="7"/>
      <c r="K68" s="7"/>
      <c r="L68" s="7"/>
      <c r="M68" s="7"/>
      <c r="N68" s="7"/>
      <c r="O68" s="7"/>
      <c r="P68" s="7"/>
      <c r="Q68" s="7"/>
      <c r="R68" s="7"/>
      <c r="S68" s="7"/>
      <c r="T68" s="7"/>
      <c r="U68" s="7"/>
      <c r="V68" s="7"/>
    </row>
    <row r="69" spans="1:22" x14ac:dyDescent="0.3">
      <c r="A69" s="7"/>
      <c r="B69" s="7"/>
      <c r="C69" s="7"/>
      <c r="D69" s="7"/>
      <c r="E69" s="7"/>
      <c r="F69" s="7"/>
      <c r="G69" s="7"/>
      <c r="H69" s="7"/>
      <c r="I69" s="7"/>
      <c r="J69" s="7"/>
      <c r="K69" s="7"/>
      <c r="L69" s="7"/>
      <c r="M69" s="7"/>
      <c r="N69" s="7"/>
      <c r="O69" s="7"/>
      <c r="P69" s="7"/>
      <c r="Q69" s="7"/>
      <c r="R69" s="7"/>
      <c r="S69" s="7"/>
      <c r="T69" s="7"/>
      <c r="U69" s="7"/>
      <c r="V69" s="7"/>
    </row>
    <row r="70" spans="1:22" x14ac:dyDescent="0.3">
      <c r="A70" s="7"/>
      <c r="B70" s="7"/>
      <c r="C70" s="7"/>
      <c r="D70" s="7"/>
      <c r="E70" s="7"/>
      <c r="F70" s="7"/>
      <c r="G70" s="7"/>
      <c r="H70" s="7"/>
      <c r="I70" s="7"/>
      <c r="J70" s="7"/>
      <c r="K70" s="7"/>
      <c r="L70" s="7"/>
      <c r="M70" s="7"/>
      <c r="N70" s="7"/>
      <c r="O70" s="7"/>
      <c r="P70" s="7"/>
      <c r="Q70" s="7"/>
      <c r="R70" s="7"/>
      <c r="S70" s="7"/>
      <c r="T70" s="7"/>
      <c r="U70" s="7"/>
      <c r="V70" s="7"/>
    </row>
    <row r="71" spans="1:22" x14ac:dyDescent="0.3">
      <c r="A71" s="7"/>
      <c r="B71" s="7"/>
      <c r="C71" s="7"/>
      <c r="D71" s="7"/>
      <c r="E71" s="7"/>
      <c r="F71" s="7"/>
      <c r="G71" s="7"/>
      <c r="H71" s="7"/>
      <c r="I71" s="7"/>
      <c r="J71" s="7"/>
      <c r="K71" s="7"/>
      <c r="L71" s="7"/>
      <c r="M71" s="7"/>
      <c r="N71" s="7"/>
      <c r="O71" s="7"/>
      <c r="P71" s="7"/>
      <c r="Q71" s="7"/>
      <c r="R71" s="7"/>
      <c r="S71" s="7"/>
      <c r="T71" s="7"/>
      <c r="U71" s="7"/>
      <c r="V71" s="7"/>
    </row>
    <row r="72" spans="1:22" x14ac:dyDescent="0.3">
      <c r="A72" s="7"/>
      <c r="B72" s="7"/>
      <c r="C72" s="7"/>
      <c r="D72" s="7"/>
      <c r="E72" s="7"/>
      <c r="F72" s="7"/>
      <c r="G72" s="7"/>
      <c r="H72" s="7"/>
      <c r="I72" s="7"/>
      <c r="J72" s="7"/>
      <c r="K72" s="7"/>
      <c r="L72" s="7"/>
      <c r="M72" s="7"/>
      <c r="N72" s="7"/>
      <c r="O72" s="7"/>
      <c r="P72" s="7"/>
      <c r="Q72" s="7"/>
      <c r="R72" s="7"/>
      <c r="S72" s="7"/>
      <c r="T72" s="7"/>
      <c r="U72" s="7"/>
      <c r="V72" s="7"/>
    </row>
    <row r="73" spans="1:22" x14ac:dyDescent="0.3">
      <c r="A73" s="7"/>
      <c r="B73" s="7"/>
      <c r="C73" s="7"/>
      <c r="D73" s="7"/>
      <c r="E73" s="7"/>
      <c r="F73" s="7"/>
      <c r="G73" s="7"/>
      <c r="H73" s="7"/>
      <c r="I73" s="7"/>
      <c r="J73" s="7"/>
      <c r="K73" s="7"/>
      <c r="L73" s="7"/>
      <c r="M73" s="7"/>
      <c r="N73" s="7"/>
      <c r="O73" s="7"/>
      <c r="P73" s="7"/>
      <c r="Q73" s="7"/>
      <c r="R73" s="7"/>
      <c r="S73" s="7"/>
      <c r="T73" s="7"/>
      <c r="U73" s="7"/>
      <c r="V73" s="7"/>
    </row>
  </sheetData>
  <mergeCells count="4">
    <mergeCell ref="J17:K17"/>
    <mergeCell ref="D17:E17"/>
    <mergeCell ref="A17:B17"/>
    <mergeCell ref="G17:H17"/>
  </mergeCells>
  <phoneticPr fontId="2" type="noConversion"/>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7" r:id="rId7" name="Check Box 3">
              <controlPr defaultSize="0" autoFill="0" autoLine="0" autoPict="0">
                <anchor moveWithCells="1">
                  <from>
                    <xdr:col>0</xdr:col>
                    <xdr:colOff>891540</xdr:colOff>
                    <xdr:row>1</xdr:row>
                    <xdr:rowOff>457200</xdr:rowOff>
                  </from>
                  <to>
                    <xdr:col>1</xdr:col>
                    <xdr:colOff>358140</xdr:colOff>
                    <xdr:row>2</xdr:row>
                    <xdr:rowOff>45720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3</xdr:col>
                    <xdr:colOff>1104900</xdr:colOff>
                    <xdr:row>1</xdr:row>
                    <xdr:rowOff>449580</xdr:rowOff>
                  </from>
                  <to>
                    <xdr:col>4</xdr:col>
                    <xdr:colOff>571500</xdr:colOff>
                    <xdr:row>2</xdr:row>
                    <xdr:rowOff>38100</xdr:rowOff>
                  </to>
                </anchor>
              </controlPr>
            </control>
          </mc:Choice>
        </mc:AlternateContent>
        <mc:AlternateContent xmlns:mc="http://schemas.openxmlformats.org/markup-compatibility/2006">
          <mc:Choice Requires="x14">
            <control shapeId="1034" r:id="rId9" name="Check Box 10">
              <controlPr defaultSize="0" autoFill="0" autoLine="0" autoPict="0">
                <anchor moveWithCells="1">
                  <from>
                    <xdr:col>9</xdr:col>
                    <xdr:colOff>861060</xdr:colOff>
                    <xdr:row>1</xdr:row>
                    <xdr:rowOff>464820</xdr:rowOff>
                  </from>
                  <to>
                    <xdr:col>10</xdr:col>
                    <xdr:colOff>472440</xdr:colOff>
                    <xdr:row>2</xdr:row>
                    <xdr:rowOff>15240</xdr:rowOff>
                  </to>
                </anchor>
              </controlPr>
            </control>
          </mc:Choice>
        </mc:AlternateContent>
        <mc:AlternateContent xmlns:mc="http://schemas.openxmlformats.org/markup-compatibility/2006">
          <mc:Choice Requires="x14">
            <control shapeId="1036" r:id="rId10" name="Check Box 12">
              <controlPr defaultSize="0" autoFill="0" autoLine="0" autoPict="0">
                <anchor moveWithCells="1">
                  <from>
                    <xdr:col>6</xdr:col>
                    <xdr:colOff>929640</xdr:colOff>
                    <xdr:row>1</xdr:row>
                    <xdr:rowOff>441960</xdr:rowOff>
                  </from>
                  <to>
                    <xdr:col>7</xdr:col>
                    <xdr:colOff>381000</xdr:colOff>
                    <xdr:row>2</xdr:row>
                    <xdr:rowOff>30480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2549D-FD36-4B56-B794-F965D79D74DC}">
  <sheetPr codeName="Sheet2"/>
  <dimension ref="A1:L25"/>
  <sheetViews>
    <sheetView workbookViewId="0">
      <selection activeCell="D15" sqref="D15"/>
    </sheetView>
  </sheetViews>
  <sheetFormatPr defaultRowHeight="14.4" x14ac:dyDescent="0.3"/>
  <cols>
    <col min="1" max="1" width="14.109375" customWidth="1"/>
    <col min="2" max="2" width="18.6640625" customWidth="1"/>
    <col min="3" max="3" width="11.77734375" customWidth="1"/>
    <col min="5" max="5" width="10.5546875" customWidth="1"/>
    <col min="6" max="6" width="10.109375" customWidth="1"/>
    <col min="7" max="7" width="10.33203125" customWidth="1"/>
    <col min="8" max="8" width="9.88671875" customWidth="1"/>
    <col min="9" max="9" width="12.44140625" customWidth="1"/>
    <col min="10" max="10" width="10.44140625" customWidth="1"/>
    <col min="11" max="11" width="14.109375" customWidth="1"/>
    <col min="12" max="12" width="13.33203125" customWidth="1"/>
  </cols>
  <sheetData>
    <row r="1" spans="1:12" x14ac:dyDescent="0.3">
      <c r="A1" s="2" t="s">
        <v>0</v>
      </c>
      <c r="B1" s="2" t="s">
        <v>25</v>
      </c>
      <c r="C1" s="2" t="s">
        <v>50</v>
      </c>
      <c r="D1" s="2" t="s">
        <v>59</v>
      </c>
      <c r="E1" s="2" t="s">
        <v>60</v>
      </c>
      <c r="F1" s="2" t="s">
        <v>61</v>
      </c>
      <c r="G1" s="2" t="s">
        <v>62</v>
      </c>
      <c r="H1" s="2" t="s">
        <v>63</v>
      </c>
      <c r="I1" s="2" t="s">
        <v>64</v>
      </c>
      <c r="J1" s="2" t="s">
        <v>65</v>
      </c>
      <c r="K1" s="2" t="s">
        <v>66</v>
      </c>
      <c r="L1" s="2" t="s">
        <v>67</v>
      </c>
    </row>
    <row r="2" spans="1:12" x14ac:dyDescent="0.3">
      <c r="A2" s="1" t="s">
        <v>1</v>
      </c>
      <c r="B2" s="1" t="s">
        <v>26</v>
      </c>
      <c r="C2" s="1" t="s">
        <v>51</v>
      </c>
      <c r="D2" s="1">
        <v>49</v>
      </c>
      <c r="E2" s="1">
        <v>84</v>
      </c>
      <c r="F2" s="1">
        <v>54</v>
      </c>
      <c r="G2" s="1">
        <v>55</v>
      </c>
      <c r="H2" s="1">
        <v>75</v>
      </c>
      <c r="I2" s="1">
        <f>SUM(D2:H2)</f>
        <v>317</v>
      </c>
      <c r="J2" s="1">
        <v>500</v>
      </c>
      <c r="K2" s="1">
        <f>I2/J2*100 %</f>
        <v>0.63400000000000001</v>
      </c>
      <c r="L2" s="1">
        <f>100-K2</f>
        <v>99.366</v>
      </c>
    </row>
    <row r="3" spans="1:12" x14ac:dyDescent="0.3">
      <c r="A3" s="1" t="s">
        <v>2</v>
      </c>
      <c r="B3" s="1" t="s">
        <v>27</v>
      </c>
      <c r="C3" s="1" t="s">
        <v>52</v>
      </c>
      <c r="D3" s="1">
        <v>44</v>
      </c>
      <c r="E3" s="1">
        <v>90</v>
      </c>
      <c r="F3" s="1">
        <v>43</v>
      </c>
      <c r="G3" s="1">
        <v>59</v>
      </c>
      <c r="H3" s="1">
        <v>90</v>
      </c>
      <c r="I3" s="1">
        <f t="shared" ref="I3:I25" si="0">SUM(D3:H3)</f>
        <v>326</v>
      </c>
      <c r="J3" s="1">
        <v>500</v>
      </c>
      <c r="K3" s="1">
        <f t="shared" ref="K3:K25" si="1">I3/J3*100 %</f>
        <v>0.65200000000000002</v>
      </c>
      <c r="L3" s="1">
        <f t="shared" ref="L3:L25" si="2">100-K3</f>
        <v>99.347999999999999</v>
      </c>
    </row>
    <row r="4" spans="1:12" x14ac:dyDescent="0.3">
      <c r="A4" s="1" t="s">
        <v>3</v>
      </c>
      <c r="B4" s="1" t="s">
        <v>28</v>
      </c>
      <c r="C4" s="1" t="s">
        <v>53</v>
      </c>
      <c r="D4" s="1">
        <v>34</v>
      </c>
      <c r="E4" s="1">
        <v>56</v>
      </c>
      <c r="F4" s="1">
        <v>74</v>
      </c>
      <c r="G4" s="1">
        <v>126</v>
      </c>
      <c r="H4" s="1">
        <v>63</v>
      </c>
      <c r="I4" s="1">
        <f>SUM(D4:H4)</f>
        <v>353</v>
      </c>
      <c r="J4" s="1">
        <v>500</v>
      </c>
      <c r="K4" s="1">
        <f t="shared" si="1"/>
        <v>0.70599999999999996</v>
      </c>
      <c r="L4" s="1">
        <f t="shared" si="2"/>
        <v>99.293999999999997</v>
      </c>
    </row>
    <row r="5" spans="1:12" x14ac:dyDescent="0.3">
      <c r="A5" s="1" t="s">
        <v>4</v>
      </c>
      <c r="B5" s="1" t="s">
        <v>29</v>
      </c>
      <c r="C5" s="1" t="s">
        <v>51</v>
      </c>
      <c r="D5" s="1">
        <v>54</v>
      </c>
      <c r="E5" s="1">
        <v>43</v>
      </c>
      <c r="F5" s="1">
        <v>12</v>
      </c>
      <c r="G5" s="1">
        <v>25</v>
      </c>
      <c r="H5" s="1">
        <v>61</v>
      </c>
      <c r="I5" s="1">
        <f t="shared" si="0"/>
        <v>195</v>
      </c>
      <c r="J5" s="1">
        <v>500</v>
      </c>
      <c r="K5" s="1">
        <f t="shared" si="1"/>
        <v>0.39</v>
      </c>
      <c r="L5" s="1">
        <f t="shared" si="2"/>
        <v>99.61</v>
      </c>
    </row>
    <row r="6" spans="1:12" x14ac:dyDescent="0.3">
      <c r="A6" s="1" t="s">
        <v>5</v>
      </c>
      <c r="B6" s="1" t="s">
        <v>30</v>
      </c>
      <c r="C6" s="1" t="s">
        <v>54</v>
      </c>
      <c r="D6" s="1">
        <v>23</v>
      </c>
      <c r="E6" s="1">
        <v>80</v>
      </c>
      <c r="F6" s="1">
        <v>32</v>
      </c>
      <c r="G6" s="1">
        <v>15</v>
      </c>
      <c r="H6" s="1">
        <v>52</v>
      </c>
      <c r="I6" s="1">
        <f t="shared" si="0"/>
        <v>202</v>
      </c>
      <c r="J6" s="1">
        <v>500</v>
      </c>
      <c r="K6" s="1">
        <f t="shared" si="1"/>
        <v>0.40400000000000003</v>
      </c>
      <c r="L6" s="1">
        <f t="shared" si="2"/>
        <v>99.596000000000004</v>
      </c>
    </row>
    <row r="7" spans="1:12" x14ac:dyDescent="0.3">
      <c r="A7" s="1" t="s">
        <v>6</v>
      </c>
      <c r="B7" s="1" t="s">
        <v>31</v>
      </c>
      <c r="C7" s="1" t="s">
        <v>52</v>
      </c>
      <c r="D7" s="1">
        <v>65</v>
      </c>
      <c r="E7" s="1">
        <v>34</v>
      </c>
      <c r="F7" s="1">
        <v>67</v>
      </c>
      <c r="G7" s="1">
        <v>25</v>
      </c>
      <c r="H7" s="1">
        <v>49</v>
      </c>
      <c r="I7" s="1">
        <f t="shared" si="0"/>
        <v>240</v>
      </c>
      <c r="J7" s="1">
        <v>500</v>
      </c>
      <c r="K7" s="1">
        <f t="shared" si="1"/>
        <v>0.48</v>
      </c>
      <c r="L7" s="1">
        <f t="shared" si="2"/>
        <v>99.52</v>
      </c>
    </row>
    <row r="8" spans="1:12" x14ac:dyDescent="0.3">
      <c r="A8" s="1" t="s">
        <v>7</v>
      </c>
      <c r="B8" s="1" t="s">
        <v>32</v>
      </c>
      <c r="C8" s="1" t="s">
        <v>55</v>
      </c>
      <c r="D8" s="1">
        <v>45</v>
      </c>
      <c r="E8" s="1">
        <v>43</v>
      </c>
      <c r="F8" s="1">
        <v>54</v>
      </c>
      <c r="G8" s="1">
        <v>45</v>
      </c>
      <c r="H8" s="1">
        <v>52</v>
      </c>
      <c r="I8" s="1">
        <f t="shared" si="0"/>
        <v>239</v>
      </c>
      <c r="J8" s="1">
        <v>500</v>
      </c>
      <c r="K8" s="1">
        <f t="shared" si="1"/>
        <v>0.47799999999999998</v>
      </c>
      <c r="L8" s="1">
        <f t="shared" si="2"/>
        <v>99.522000000000006</v>
      </c>
    </row>
    <row r="9" spans="1:12" x14ac:dyDescent="0.3">
      <c r="A9" s="1" t="s">
        <v>8</v>
      </c>
      <c r="B9" s="1" t="s">
        <v>33</v>
      </c>
      <c r="C9" s="1" t="s">
        <v>56</v>
      </c>
      <c r="D9" s="1">
        <v>34</v>
      </c>
      <c r="E9" s="1">
        <v>25</v>
      </c>
      <c r="F9" s="1">
        <v>24</v>
      </c>
      <c r="G9" s="1">
        <v>85</v>
      </c>
      <c r="H9" s="1">
        <v>42</v>
      </c>
      <c r="I9" s="1">
        <f t="shared" si="0"/>
        <v>210</v>
      </c>
      <c r="J9" s="1">
        <v>500</v>
      </c>
      <c r="K9" s="1">
        <f t="shared" si="1"/>
        <v>0.42</v>
      </c>
      <c r="L9" s="1">
        <f t="shared" si="2"/>
        <v>99.58</v>
      </c>
    </row>
    <row r="10" spans="1:12" x14ac:dyDescent="0.3">
      <c r="A10" s="1" t="s">
        <v>9</v>
      </c>
      <c r="B10" s="1" t="s">
        <v>34</v>
      </c>
      <c r="C10" s="1" t="s">
        <v>52</v>
      </c>
      <c r="D10" s="1">
        <v>53</v>
      </c>
      <c r="E10" s="1">
        <v>64</v>
      </c>
      <c r="F10" s="1">
        <v>87</v>
      </c>
      <c r="G10" s="1">
        <v>54</v>
      </c>
      <c r="H10" s="1">
        <v>14</v>
      </c>
      <c r="I10" s="1">
        <f t="shared" si="0"/>
        <v>272</v>
      </c>
      <c r="J10" s="1">
        <v>500</v>
      </c>
      <c r="K10" s="1">
        <f t="shared" si="1"/>
        <v>0.54400000000000004</v>
      </c>
      <c r="L10" s="1">
        <f t="shared" si="2"/>
        <v>99.456000000000003</v>
      </c>
    </row>
    <row r="11" spans="1:12" x14ac:dyDescent="0.3">
      <c r="A11" s="1" t="s">
        <v>10</v>
      </c>
      <c r="B11" s="1" t="s">
        <v>35</v>
      </c>
      <c r="C11" s="1" t="s">
        <v>53</v>
      </c>
      <c r="D11" s="1">
        <v>25</v>
      </c>
      <c r="E11" s="1">
        <v>86</v>
      </c>
      <c r="F11" s="1">
        <v>23</v>
      </c>
      <c r="G11" s="1">
        <v>88</v>
      </c>
      <c r="H11" s="1">
        <v>63</v>
      </c>
      <c r="I11" s="1">
        <f t="shared" si="0"/>
        <v>285</v>
      </c>
      <c r="J11" s="1">
        <v>500</v>
      </c>
      <c r="K11" s="1">
        <f t="shared" si="1"/>
        <v>0.56999999999999995</v>
      </c>
      <c r="L11" s="1">
        <f t="shared" si="2"/>
        <v>99.43</v>
      </c>
    </row>
    <row r="12" spans="1:12" x14ac:dyDescent="0.3">
      <c r="A12" s="1" t="s">
        <v>11</v>
      </c>
      <c r="B12" s="1" t="s">
        <v>36</v>
      </c>
      <c r="C12" s="1" t="s">
        <v>54</v>
      </c>
      <c r="D12" s="1">
        <v>65</v>
      </c>
      <c r="E12" s="1">
        <v>23</v>
      </c>
      <c r="F12" s="1">
        <v>54</v>
      </c>
      <c r="G12" s="1">
        <v>45</v>
      </c>
      <c r="H12" s="1">
        <v>34</v>
      </c>
      <c r="I12" s="1">
        <f t="shared" si="0"/>
        <v>221</v>
      </c>
      <c r="J12" s="1">
        <v>500</v>
      </c>
      <c r="K12" s="1">
        <f t="shared" si="1"/>
        <v>0.442</v>
      </c>
      <c r="L12" s="1">
        <f t="shared" si="2"/>
        <v>99.558000000000007</v>
      </c>
    </row>
    <row r="13" spans="1:12" x14ac:dyDescent="0.3">
      <c r="A13" s="1" t="s">
        <v>12</v>
      </c>
      <c r="B13" s="1" t="s">
        <v>37</v>
      </c>
      <c r="C13" s="1" t="s">
        <v>55</v>
      </c>
      <c r="D13" s="1">
        <v>34</v>
      </c>
      <c r="E13" s="1">
        <v>43</v>
      </c>
      <c r="F13" s="1">
        <v>24</v>
      </c>
      <c r="G13" s="1">
        <v>51</v>
      </c>
      <c r="H13" s="1">
        <v>29</v>
      </c>
      <c r="I13" s="1">
        <f t="shared" si="0"/>
        <v>181</v>
      </c>
      <c r="J13" s="1">
        <v>500</v>
      </c>
      <c r="K13" s="1">
        <f t="shared" si="1"/>
        <v>0.36199999999999999</v>
      </c>
      <c r="L13" s="1">
        <f t="shared" si="2"/>
        <v>99.638000000000005</v>
      </c>
    </row>
    <row r="14" spans="1:12" x14ac:dyDescent="0.3">
      <c r="A14" s="1" t="s">
        <v>13</v>
      </c>
      <c r="B14" s="1" t="s">
        <v>38</v>
      </c>
      <c r="C14" s="1" t="s">
        <v>57</v>
      </c>
      <c r="D14" s="1">
        <v>19</v>
      </c>
      <c r="E14" s="1">
        <v>22</v>
      </c>
      <c r="F14" s="1">
        <v>44</v>
      </c>
      <c r="G14" s="1">
        <v>54</v>
      </c>
      <c r="H14" s="1">
        <v>78</v>
      </c>
      <c r="I14" s="1">
        <f t="shared" si="0"/>
        <v>217</v>
      </c>
      <c r="J14" s="1">
        <v>500</v>
      </c>
      <c r="K14" s="1">
        <f t="shared" si="1"/>
        <v>0.434</v>
      </c>
      <c r="L14" s="1">
        <f t="shared" si="2"/>
        <v>99.566000000000003</v>
      </c>
    </row>
    <row r="15" spans="1:12" x14ac:dyDescent="0.3">
      <c r="A15" s="1" t="s">
        <v>14</v>
      </c>
      <c r="B15" s="1" t="s">
        <v>39</v>
      </c>
      <c r="C15" s="1" t="s">
        <v>53</v>
      </c>
      <c r="D15" s="1">
        <v>21</v>
      </c>
      <c r="E15" s="1">
        <v>12</v>
      </c>
      <c r="F15" s="1">
        <v>32</v>
      </c>
      <c r="G15" s="1">
        <v>12</v>
      </c>
      <c r="H15" s="1">
        <v>45</v>
      </c>
      <c r="I15" s="1">
        <f t="shared" si="0"/>
        <v>122</v>
      </c>
      <c r="J15" s="1">
        <v>500</v>
      </c>
      <c r="K15" s="1">
        <f t="shared" si="1"/>
        <v>0.24399999999999999</v>
      </c>
      <c r="L15" s="1">
        <f t="shared" si="2"/>
        <v>99.756</v>
      </c>
    </row>
    <row r="16" spans="1:12" x14ac:dyDescent="0.3">
      <c r="A16" s="1" t="s">
        <v>15</v>
      </c>
      <c r="B16" s="1" t="s">
        <v>40</v>
      </c>
      <c r="C16" s="1" t="s">
        <v>58</v>
      </c>
      <c r="D16" s="1">
        <v>34</v>
      </c>
      <c r="E16" s="1">
        <v>43</v>
      </c>
      <c r="F16" s="1">
        <v>65</v>
      </c>
      <c r="G16" s="1">
        <v>24</v>
      </c>
      <c r="H16" s="1">
        <v>26</v>
      </c>
      <c r="I16" s="1">
        <f t="shared" si="0"/>
        <v>192</v>
      </c>
      <c r="J16" s="1">
        <v>500</v>
      </c>
      <c r="K16" s="1">
        <f t="shared" si="1"/>
        <v>0.38400000000000001</v>
      </c>
      <c r="L16" s="1">
        <f t="shared" si="2"/>
        <v>99.616</v>
      </c>
    </row>
    <row r="17" spans="1:12" x14ac:dyDescent="0.3">
      <c r="A17" s="1" t="s">
        <v>16</v>
      </c>
      <c r="B17" s="1" t="s">
        <v>41</v>
      </c>
      <c r="C17" s="1" t="s">
        <v>51</v>
      </c>
      <c r="D17" s="1">
        <v>15</v>
      </c>
      <c r="E17" s="1">
        <v>23</v>
      </c>
      <c r="F17" s="1">
        <v>25</v>
      </c>
      <c r="G17" s="1">
        <v>25</v>
      </c>
      <c r="H17" s="1">
        <v>21</v>
      </c>
      <c r="I17" s="1">
        <f t="shared" si="0"/>
        <v>109</v>
      </c>
      <c r="J17" s="1">
        <v>500</v>
      </c>
      <c r="K17" s="1">
        <f t="shared" si="1"/>
        <v>0.218</v>
      </c>
      <c r="L17" s="1">
        <f t="shared" si="2"/>
        <v>99.781999999999996</v>
      </c>
    </row>
    <row r="18" spans="1:12" x14ac:dyDescent="0.3">
      <c r="A18" s="1" t="s">
        <v>17</v>
      </c>
      <c r="B18" s="1" t="s">
        <v>42</v>
      </c>
      <c r="C18" s="1" t="s">
        <v>54</v>
      </c>
      <c r="D18" s="1">
        <v>24</v>
      </c>
      <c r="E18" s="1">
        <v>54</v>
      </c>
      <c r="F18" s="1">
        <v>73</v>
      </c>
      <c r="G18" s="1">
        <v>28</v>
      </c>
      <c r="H18" s="1">
        <v>30</v>
      </c>
      <c r="I18" s="1">
        <f t="shared" si="0"/>
        <v>209</v>
      </c>
      <c r="J18" s="1">
        <v>500</v>
      </c>
      <c r="K18" s="1">
        <f t="shared" si="1"/>
        <v>0.41799999999999998</v>
      </c>
      <c r="L18" s="1">
        <f t="shared" si="2"/>
        <v>99.581999999999994</v>
      </c>
    </row>
    <row r="19" spans="1:12" x14ac:dyDescent="0.3">
      <c r="A19" s="1" t="s">
        <v>18</v>
      </c>
      <c r="B19" s="1" t="s">
        <v>43</v>
      </c>
      <c r="C19" s="1" t="s">
        <v>58</v>
      </c>
      <c r="D19" s="1">
        <v>63</v>
      </c>
      <c r="E19" s="1">
        <v>23</v>
      </c>
      <c r="F19" s="1">
        <v>24</v>
      </c>
      <c r="G19" s="1">
        <v>53</v>
      </c>
      <c r="H19" s="1">
        <v>40</v>
      </c>
      <c r="I19" s="1">
        <f t="shared" si="0"/>
        <v>203</v>
      </c>
      <c r="J19" s="1">
        <v>500</v>
      </c>
      <c r="K19" s="1">
        <f t="shared" si="1"/>
        <v>0.40600000000000003</v>
      </c>
      <c r="L19" s="1">
        <f t="shared" si="2"/>
        <v>99.593999999999994</v>
      </c>
    </row>
    <row r="20" spans="1:12" x14ac:dyDescent="0.3">
      <c r="A20" s="1" t="s">
        <v>19</v>
      </c>
      <c r="B20" s="1" t="s">
        <v>44</v>
      </c>
      <c r="C20" s="1" t="s">
        <v>57</v>
      </c>
      <c r="D20" s="1">
        <v>26</v>
      </c>
      <c r="E20" s="1">
        <v>56</v>
      </c>
      <c r="F20" s="1">
        <v>76</v>
      </c>
      <c r="G20" s="1">
        <v>61</v>
      </c>
      <c r="H20" s="1">
        <v>25</v>
      </c>
      <c r="I20" s="1">
        <f t="shared" si="0"/>
        <v>244</v>
      </c>
      <c r="J20" s="1">
        <v>500</v>
      </c>
      <c r="K20" s="1">
        <f t="shared" si="1"/>
        <v>0.48799999999999999</v>
      </c>
      <c r="L20" s="1">
        <f t="shared" si="2"/>
        <v>99.512</v>
      </c>
    </row>
    <row r="21" spans="1:12" x14ac:dyDescent="0.3">
      <c r="A21" s="1" t="s">
        <v>20</v>
      </c>
      <c r="B21" s="1" t="s">
        <v>45</v>
      </c>
      <c r="C21" s="1" t="s">
        <v>51</v>
      </c>
      <c r="D21" s="1">
        <v>85</v>
      </c>
      <c r="E21" s="1">
        <v>43</v>
      </c>
      <c r="F21" s="1">
        <v>54</v>
      </c>
      <c r="G21" s="1">
        <v>74</v>
      </c>
      <c r="H21" s="1">
        <v>63</v>
      </c>
      <c r="I21" s="1">
        <f t="shared" si="0"/>
        <v>319</v>
      </c>
      <c r="J21" s="1">
        <v>500</v>
      </c>
      <c r="K21" s="1">
        <f t="shared" si="1"/>
        <v>0.63800000000000001</v>
      </c>
      <c r="L21" s="1">
        <f t="shared" si="2"/>
        <v>99.361999999999995</v>
      </c>
    </row>
    <row r="22" spans="1:12" x14ac:dyDescent="0.3">
      <c r="A22" s="1" t="s">
        <v>21</v>
      </c>
      <c r="B22" s="1" t="s">
        <v>48</v>
      </c>
      <c r="C22" s="1" t="s">
        <v>56</v>
      </c>
      <c r="D22" s="1">
        <v>45</v>
      </c>
      <c r="E22" s="1">
        <v>24</v>
      </c>
      <c r="F22" s="1">
        <v>33</v>
      </c>
      <c r="G22" s="1">
        <v>45</v>
      </c>
      <c r="H22" s="1">
        <v>96</v>
      </c>
      <c r="I22" s="1">
        <f t="shared" si="0"/>
        <v>243</v>
      </c>
      <c r="J22" s="1">
        <v>500</v>
      </c>
      <c r="K22" s="1">
        <f t="shared" si="1"/>
        <v>0.48599999999999999</v>
      </c>
      <c r="L22" s="1">
        <f t="shared" si="2"/>
        <v>99.513999999999996</v>
      </c>
    </row>
    <row r="23" spans="1:12" x14ac:dyDescent="0.3">
      <c r="A23" s="1" t="s">
        <v>22</v>
      </c>
      <c r="B23" s="1" t="s">
        <v>46</v>
      </c>
      <c r="C23" s="1" t="s">
        <v>52</v>
      </c>
      <c r="D23" s="1">
        <v>69</v>
      </c>
      <c r="E23" s="1">
        <v>65</v>
      </c>
      <c r="F23" s="1">
        <v>76</v>
      </c>
      <c r="G23" s="1">
        <v>64</v>
      </c>
      <c r="H23" s="1">
        <v>45</v>
      </c>
      <c r="I23" s="1">
        <f t="shared" si="0"/>
        <v>319</v>
      </c>
      <c r="J23" s="1">
        <v>500</v>
      </c>
      <c r="K23" s="1">
        <f t="shared" si="1"/>
        <v>0.63800000000000001</v>
      </c>
      <c r="L23" s="1">
        <f t="shared" si="2"/>
        <v>99.361999999999995</v>
      </c>
    </row>
    <row r="24" spans="1:12" x14ac:dyDescent="0.3">
      <c r="A24" s="1" t="s">
        <v>23</v>
      </c>
      <c r="B24" s="1" t="s">
        <v>47</v>
      </c>
      <c r="C24" s="1" t="s">
        <v>56</v>
      </c>
      <c r="D24" s="1">
        <v>97</v>
      </c>
      <c r="E24" s="1">
        <v>50</v>
      </c>
      <c r="F24" s="1">
        <v>27</v>
      </c>
      <c r="G24" s="1">
        <v>52</v>
      </c>
      <c r="H24" s="1">
        <v>24</v>
      </c>
      <c r="I24" s="1">
        <f t="shared" si="0"/>
        <v>250</v>
      </c>
      <c r="J24" s="1">
        <v>500</v>
      </c>
      <c r="K24" s="1">
        <f t="shared" si="1"/>
        <v>0.5</v>
      </c>
      <c r="L24" s="1">
        <f t="shared" si="2"/>
        <v>99.5</v>
      </c>
    </row>
    <row r="25" spans="1:12" x14ac:dyDescent="0.3">
      <c r="A25" s="1" t="s">
        <v>24</v>
      </c>
      <c r="B25" s="1" t="s">
        <v>49</v>
      </c>
      <c r="C25" s="1" t="s">
        <v>55</v>
      </c>
      <c r="D25" s="1">
        <v>30</v>
      </c>
      <c r="E25" s="1">
        <v>32</v>
      </c>
      <c r="F25" s="1">
        <v>24</v>
      </c>
      <c r="G25" s="1">
        <v>32</v>
      </c>
      <c r="H25" s="1">
        <v>16</v>
      </c>
      <c r="I25" s="1">
        <f t="shared" si="0"/>
        <v>134</v>
      </c>
      <c r="J25" s="1">
        <v>500</v>
      </c>
      <c r="K25" s="1">
        <f t="shared" si="1"/>
        <v>0.26800000000000002</v>
      </c>
      <c r="L25" s="1">
        <f t="shared" si="2"/>
        <v>99.731999999999999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Sheet4</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JYOTI SHARMA</dc:creator>
  <cp:lastModifiedBy>JYOTI SHARMA</cp:lastModifiedBy>
  <dcterms:created xsi:type="dcterms:W3CDTF">2025-12-16T15:42:31Z</dcterms:created>
  <dcterms:modified xsi:type="dcterms:W3CDTF">2025-12-17T16:57:50Z</dcterms:modified>
</cp:coreProperties>
</file>